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bancolombia.sharepoint.com/teams/RFIAdministracindelEfectivo-SR4563473721/Documentos compartidos/RFP Hta admon del Efectivo - SR5027777238/3. RFP - HERRAMIENTA INTERNA/poc_proveedor/Anexos/"/>
    </mc:Choice>
  </mc:AlternateContent>
  <xr:revisionPtr revIDLastSave="438" documentId="11_AD4D2F04E46CFB4ACB3E20D405D1D68E683EDF20" xr6:coauthVersionLast="47" xr6:coauthVersionMax="47" xr10:uidLastSave="{700E4A62-2080-4DA4-88CC-175AD4936B56}"/>
  <bookViews>
    <workbookView xWindow="-110" yWindow="-110" windowWidth="19420" windowHeight="11500" xr2:uid="{00000000-000D-0000-FFFF-FFFF00000000}"/>
  </bookViews>
  <sheets>
    <sheet name="Fondos" sheetId="1" r:id="rId1"/>
    <sheet name="Sucursales" sheetId="2" r:id="rId2"/>
    <sheet name="ATM" sheetId="3" r:id="rId3"/>
    <sheet name="Not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4" l="1"/>
  <c r="B30" i="4"/>
  <c r="B21" i="4"/>
  <c r="B20" i="4"/>
  <c r="B11" i="4"/>
  <c r="B10" i="4"/>
  <c r="B13" i="4" l="1"/>
  <c r="B2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 Esteban Arredondo Parra</author>
  </authors>
  <commentList>
    <comment ref="B2" authorId="0" shapeId="0" xr:uid="{20B8ED87-B969-4E59-BADC-09766F10081F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C2" authorId="0" shapeId="0" xr:uid="{CA0CF2D9-3025-4509-A47F-9072398333CD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D2" authorId="0" shapeId="0" xr:uid="{F2CABCAF-C1A2-4AF6-8600-43BB84E9B477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E2" authorId="0" shapeId="0" xr:uid="{942C30A0-29EC-4280-BE42-5BED2AD06EA6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F2" authorId="0" shapeId="0" xr:uid="{4E652569-6313-4EE9-A46D-97A584F48911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G2" authorId="0" shapeId="0" xr:uid="{9F06B69E-B3FF-41E6-8323-EFA513CC90A9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H2" authorId="0" shapeId="0" xr:uid="{A54DC6B8-87B4-44F3-9052-8A8CD523307F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I2" authorId="0" shapeId="0" xr:uid="{85F25F0E-7518-4F89-A1A1-7B0A50880051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 Esteban Arredondo Parra</author>
  </authors>
  <commentList>
    <comment ref="B2" authorId="0" shapeId="0" xr:uid="{98C05F76-EEA6-411D-9FA2-D00A21C305AD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C2" authorId="0" shapeId="0" xr:uid="{94C39791-6988-491D-BD7D-69BBD652B9EA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D2" authorId="0" shapeId="0" xr:uid="{DFCAA468-B616-424E-BA4A-12E2163325CD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E2" authorId="0" shapeId="0" xr:uid="{79444A98-E3DD-4124-B2C5-7D86DFBD99E0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F2" authorId="0" shapeId="0" xr:uid="{3549B440-A9DA-459D-AAB2-39EAD1E453E7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G2" authorId="0" shapeId="0" xr:uid="{EC037E37-D9A4-4A84-956B-BE4C66D12965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H2" authorId="0" shapeId="0" xr:uid="{3BC04271-1DB4-418D-A3B2-D03A0B869F82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I2" authorId="0" shapeId="0" xr:uid="{63DD9369-1E1C-4F4A-A134-8D69796736BD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B21" authorId="0" shapeId="0" xr:uid="{79F99C6C-1DCE-4540-AD21-FD9379C8EA23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C21" authorId="0" shapeId="0" xr:uid="{5FE764B7-B079-42AA-A559-2C19D8DA09D8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D21" authorId="0" shapeId="0" xr:uid="{95C18461-C3E4-4A38-91FE-D4369DE64C46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E21" authorId="0" shapeId="0" xr:uid="{3ACDAC28-5BE0-430A-9397-4EE78486FEC6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F21" authorId="0" shapeId="0" xr:uid="{56496AC9-9DD3-4E2A-8316-962DBCA12507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G21" authorId="0" shapeId="0" xr:uid="{467E4C62-C587-4FBC-ABC0-A398C264A895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H21" authorId="0" shapeId="0" xr:uid="{7503A704-A902-4C1A-B3AF-895A3FB390B7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I21" authorId="0" shapeId="0" xr:uid="{6DB4E564-D9B7-4BBF-BDEF-26E6DEF35FBA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 Esteban Arredondo Parra</author>
  </authors>
  <commentList>
    <comment ref="B2" authorId="0" shapeId="0" xr:uid="{A6B03085-A2F5-4A57-8465-834153CAD55E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C2" authorId="0" shapeId="0" xr:uid="{E72E90B9-8EFD-4B1D-ABA1-2A5495D4F639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D2" authorId="0" shapeId="0" xr:uid="{2DC6F48F-BA35-4635-94A8-680E69E1DE05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E2" authorId="0" shapeId="0" xr:uid="{9655D7A5-F4BF-4397-BF49-95B6422A5540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F2" authorId="0" shapeId="0" xr:uid="{8DAEEF45-1F65-4CEF-8E23-1D3F36FD9E0A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G2" authorId="0" shapeId="0" xr:uid="{EBC0F1F6-2D16-4C78-BAFB-8D4C3C880138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  <comment ref="H2" authorId="0" shapeId="0" xr:uid="{F2B775B8-68C8-4296-8B02-AC14AE2868EC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cada servicio/transporte</t>
        </r>
      </text>
    </comment>
    <comment ref="I2" authorId="0" shapeId="0" xr:uid="{C4100601-7A53-4139-ADD9-D5442E767545}">
      <text>
        <r>
          <rPr>
            <b/>
            <sz val="9"/>
            <color indexed="81"/>
            <rFont val="Tahoma"/>
            <family val="2"/>
          </rPr>
          <t>Jhon Esteban Arredondo Parra:</t>
        </r>
        <r>
          <rPr>
            <sz val="9"/>
            <color indexed="81"/>
            <rFont val="Tahoma"/>
            <family val="2"/>
          </rPr>
          <t xml:space="preserve">
Por el monto transportado</t>
        </r>
      </text>
    </comment>
  </commentList>
</comments>
</file>

<file path=xl/sharedStrings.xml><?xml version="1.0" encoding="utf-8"?>
<sst xmlns="http://schemas.openxmlformats.org/spreadsheetml/2006/main" count="214" uniqueCount="78">
  <si>
    <t>TRANSPORTADORA_001</t>
  </si>
  <si>
    <t>TRANSPORTADORA_002</t>
  </si>
  <si>
    <t>TRANSPORTADORA_003</t>
  </si>
  <si>
    <t>Costo Fijo</t>
  </si>
  <si>
    <t>Costo X10 Mil</t>
  </si>
  <si>
    <t>Tipo Costo</t>
  </si>
  <si>
    <t>Consignación BanRep</t>
  </si>
  <si>
    <t>Retiro BanRep</t>
  </si>
  <si>
    <t>Traslado Cali-Ipiales</t>
  </si>
  <si>
    <t>Traslado Cali-Pasto</t>
  </si>
  <si>
    <t>Traslado Ipiales-Pasto</t>
  </si>
  <si>
    <t>Traslado Ipiales-Cali</t>
  </si>
  <si>
    <t>Traslado Pasto-Cali</t>
  </si>
  <si>
    <t>Traslado Pasto-Ipiales</t>
  </si>
  <si>
    <t>Costo intercambio</t>
  </si>
  <si>
    <t>Costo almacenamiento por día (por cada 10Mil Millones)</t>
  </si>
  <si>
    <t>No Disponible</t>
  </si>
  <si>
    <t>***Cualquier otro movimiento o costo que el proveedor visualice podrá suponerlo</t>
  </si>
  <si>
    <t>SUCURSAL AEREO 1</t>
  </si>
  <si>
    <t>SUCURSAL AEREO 2</t>
  </si>
  <si>
    <t>SUCURSAL AEREO 3</t>
  </si>
  <si>
    <t>SUCURSAL AEREO 4</t>
  </si>
  <si>
    <t xml:space="preserve">El sistema de facturación de servicios de transporte y almacenamiento de efectivo con las transportadoras de valores tiene principalmente dos factores: Costo Fijo (por servicio) y Costo Variable (por la cantidad de efectivo). La combinación de ambos da el valor facturado en cada servicio de ATM, Sucursales, Traslados, Banco Republica y Almacenamiento. </t>
  </si>
  <si>
    <t>Ejemplo 1:</t>
  </si>
  <si>
    <t>Una sucursal solicitó la provisión de 1000 Millones. La sucursal está catalogada como URBANO MEDIO y es atendida por la TRANSPORTADORA_002</t>
  </si>
  <si>
    <t>Monto</t>
  </si>
  <si>
    <t>Tarifa variable</t>
  </si>
  <si>
    <t>Tarifa fija</t>
  </si>
  <si>
    <t>Total Facturado</t>
  </si>
  <si>
    <t>Se realizó un traslado de Pasto a Cali con la TRANSPORTADORA_001 por 10 Mil Millones</t>
  </si>
  <si>
    <t>Ejemplo 2:</t>
  </si>
  <si>
    <t>**La tabla tiene los Costos promedio de referencia, para que el proveedor estime el impacto de sus decisiones y sugerencias</t>
  </si>
  <si>
    <t>****La tasa de venta corresponde a una comisión histórica recibida por Bancolombia. El proveedor podrá utilizarla como beneficio económico y definir la tasa a aplicar durante el periodo de evaluación con base en la información histórica suministrada</t>
  </si>
  <si>
    <t>Ejemplo 3:</t>
  </si>
  <si>
    <t>*****El costo de almacenamiento diario se calcula a partir del saldo final estimado, según las operaciones realizadas y la simulacion del disponible generado en cada fondo</t>
  </si>
  <si>
    <t>El saldo final calculado el 31/08/2026 para la Transportadora 3 en Cali es igual a  51,275,500,000. El costo de almacenamiento es</t>
  </si>
  <si>
    <t>Por cada 10Mil Millones</t>
  </si>
  <si>
    <t xml:space="preserve"> $ -   </t>
  </si>
  <si>
    <t>*L-S: De lunes a sabado</t>
  </si>
  <si>
    <t>**D-F: Domingos y festivos</t>
  </si>
  <si>
    <t>***MF: Multifuncional</t>
  </si>
  <si>
    <t>Tipo Costo (Provision)</t>
  </si>
  <si>
    <t>Tipo Costo (Recolección)</t>
  </si>
  <si>
    <t>*El costo variable de recolección es mayor que el de provisión porque considera el costo de procesamiento del efectivo</t>
  </si>
  <si>
    <t>SUCURSAL URBANO ELITE</t>
  </si>
  <si>
    <t>SUCURSAL URBANO VIP</t>
  </si>
  <si>
    <t>SUCURSAL URBANO ALTO</t>
  </si>
  <si>
    <t>SUCURSAL URBANO MEDIO</t>
  </si>
  <si>
    <t>SUCURSAL URBANO BAJO</t>
  </si>
  <si>
    <t>SUCURSAL URBANO INDIVIDUAL</t>
  </si>
  <si>
    <t>SUCURSAL INTERURBANA ESCALA 1</t>
  </si>
  <si>
    <t>SUCURSAL INTERURBANA ESCALA 2</t>
  </si>
  <si>
    <t>SUCURSAL INTERURBANA ESCALA 3</t>
  </si>
  <si>
    <t>SUCURSAL INTERURBANA ESCALA 4</t>
  </si>
  <si>
    <t>SUCURSAL INTERURBANA ESCALA 5</t>
  </si>
  <si>
    <t>**Las tipologias de cada sucursal se relacionan en el insumo de Oficinas_enmascarado</t>
  </si>
  <si>
    <t>MF URBANO L-S</t>
  </si>
  <si>
    <t>MF URBANO D-F</t>
  </si>
  <si>
    <t>MF INTERURBANO L-S</t>
  </si>
  <si>
    <t>MF INTERURBANO D-F</t>
  </si>
  <si>
    <t>ATM URBANO L-S ELITE</t>
  </si>
  <si>
    <t>ATM URBANO L-S VIP</t>
  </si>
  <si>
    <t>ATM URBANO L-S ALTO</t>
  </si>
  <si>
    <t>ATM URBANO L-S MEDIO</t>
  </si>
  <si>
    <t>ATM URBANO L-S BAJO</t>
  </si>
  <si>
    <t>ATM URBANO D-F ELITE</t>
  </si>
  <si>
    <t>ATM URBANO D-F VIP</t>
  </si>
  <si>
    <t>ATM URBANO D-F ALTO</t>
  </si>
  <si>
    <t>ATM URBANO D-F MEDIO</t>
  </si>
  <si>
    <t>ATM URBANO D-F BAJO</t>
  </si>
  <si>
    <t>ATM URBANO L-S  INDIVIDUAL</t>
  </si>
  <si>
    <t>ATM URBANO D-F INDIVIDUAL</t>
  </si>
  <si>
    <t>ATM INTERURBANO L-S INDIVIDUAL</t>
  </si>
  <si>
    <t>ATM INTERURBANO D-F INDIVIDUAL</t>
  </si>
  <si>
    <t>ATM INTERURBANO L-S COMBO</t>
  </si>
  <si>
    <t>ATM INTERURBANO D-F COMBO</t>
  </si>
  <si>
    <t>*Los traslados entre fondos de distintas transportadoras de una misma ciudad no tienen coste. El efectivo sale del fondo origen en la fecha de ejecución y se encuentra disponible en el fondo destino al día siguiente.</t>
  </si>
  <si>
    <t>TRANSPORTADORA_004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</si>
</sst>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2" applyNumberFormat="1" applyFont="1" applyBorder="1"/>
    <xf numFmtId="0" fontId="0" fillId="0" borderId="1" xfId="0" applyBorder="1" applyAlignment="1">
      <alignment horizontal="center" wrapText="1"/>
    </xf>
    <xf numFmtId="44" fontId="0" fillId="0" borderId="1" xfId="2" applyFont="1" applyBorder="1"/>
    <xf numFmtId="44" fontId="0" fillId="0" borderId="0" xfId="0" applyNumberFormat="1"/>
    <xf numFmtId="164" fontId="0" fillId="0" borderId="1" xfId="2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165" fontId="0" fillId="0" borderId="1" xfId="1" applyNumberFormat="1" applyFont="1" applyFill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44" fontId="0" fillId="0" borderId="1" xfId="2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2" fillId="0" borderId="0" xfId="0" applyFont="1" applyAlignment="1">
      <alignment vertical="center" wrapText="1"/>
    </xf>
    <xf numFmtId="0" fontId="0" fillId="0" borderId="4" xfId="0" applyBorder="1"/>
    <xf numFmtId="0" fontId="8" fillId="0" borderId="0" xfId="0" applyFont="1"/>
    <xf numFmtId="164" fontId="2" fillId="0" borderId="0" xfId="2" applyNumberFormat="1" applyFont="1"/>
    <xf numFmtId="164" fontId="2" fillId="0" borderId="0" xfId="2" applyNumberFormat="1" applyFont="1" applyBorder="1"/>
    <xf numFmtId="0" fontId="9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tabSelected="1" workbookViewId="0">
      <selection activeCell="H5" sqref="H5:I12"/>
    </sheetView>
  </sheetViews>
  <sheetFormatPr baseColWidth="10" defaultColWidth="8.7265625" defaultRowHeight="14.5" x14ac:dyDescent="0.35"/>
  <cols>
    <col min="1" max="1" width="35" style="1" bestFit="1" customWidth="1"/>
    <col min="2" max="7" width="15.08984375" customWidth="1"/>
    <col min="8" max="9" width="13.7265625" bestFit="1" customWidth="1"/>
  </cols>
  <sheetData>
    <row r="1" spans="1:9" x14ac:dyDescent="0.35">
      <c r="A1" s="30" t="s">
        <v>5</v>
      </c>
      <c r="B1" s="29" t="s">
        <v>0</v>
      </c>
      <c r="C1" s="29"/>
      <c r="D1" s="29" t="s">
        <v>1</v>
      </c>
      <c r="E1" s="29"/>
      <c r="F1" s="29" t="s">
        <v>2</v>
      </c>
      <c r="G1" s="29"/>
      <c r="H1" s="29" t="s">
        <v>77</v>
      </c>
      <c r="I1" s="29"/>
    </row>
    <row r="2" spans="1:9" x14ac:dyDescent="0.35">
      <c r="A2" s="31"/>
      <c r="B2" s="2" t="s">
        <v>3</v>
      </c>
      <c r="C2" s="2" t="s">
        <v>4</v>
      </c>
      <c r="D2" s="2" t="s">
        <v>3</v>
      </c>
      <c r="E2" s="2" t="s">
        <v>4</v>
      </c>
      <c r="F2" s="2" t="s">
        <v>3</v>
      </c>
      <c r="G2" s="2" t="s">
        <v>4</v>
      </c>
      <c r="H2" s="2" t="s">
        <v>3</v>
      </c>
      <c r="I2" s="2" t="s">
        <v>4</v>
      </c>
    </row>
    <row r="3" spans="1:9" x14ac:dyDescent="0.35">
      <c r="A3" s="3" t="s">
        <v>6</v>
      </c>
      <c r="B3" s="4">
        <v>124033</v>
      </c>
      <c r="C3" s="6">
        <v>2.4900000000000002</v>
      </c>
      <c r="D3" s="4">
        <v>123169</v>
      </c>
      <c r="E3" s="6">
        <v>2.73</v>
      </c>
      <c r="F3" s="4">
        <v>126860</v>
      </c>
      <c r="G3" s="6">
        <v>2.63</v>
      </c>
      <c r="H3" s="4">
        <v>120764</v>
      </c>
      <c r="I3" s="6">
        <v>2.73</v>
      </c>
    </row>
    <row r="4" spans="1:9" x14ac:dyDescent="0.35">
      <c r="A4" s="3" t="s">
        <v>7</v>
      </c>
      <c r="B4" s="4">
        <v>124033</v>
      </c>
      <c r="C4" s="6">
        <v>3.93</v>
      </c>
      <c r="D4" s="4">
        <v>123169</v>
      </c>
      <c r="E4" s="6">
        <v>4.2</v>
      </c>
      <c r="F4" s="4">
        <v>126860</v>
      </c>
      <c r="G4" s="6">
        <v>4.0999999999999996</v>
      </c>
      <c r="H4" s="4">
        <v>120764</v>
      </c>
      <c r="I4" s="6">
        <v>4.2</v>
      </c>
    </row>
    <row r="5" spans="1:9" x14ac:dyDescent="0.35">
      <c r="A5" s="3" t="s">
        <v>8</v>
      </c>
      <c r="B5" s="4">
        <v>276160</v>
      </c>
      <c r="C5" s="6">
        <v>15.2</v>
      </c>
      <c r="D5" s="4">
        <v>162479</v>
      </c>
      <c r="E5" s="6">
        <v>8.7200000000000006</v>
      </c>
      <c r="F5" s="8" t="s">
        <v>16</v>
      </c>
      <c r="G5" s="8" t="s">
        <v>16</v>
      </c>
      <c r="H5" s="8" t="s">
        <v>16</v>
      </c>
      <c r="I5" s="8" t="s">
        <v>16</v>
      </c>
    </row>
    <row r="6" spans="1:9" x14ac:dyDescent="0.35">
      <c r="A6" s="3" t="s">
        <v>11</v>
      </c>
      <c r="B6" s="4">
        <v>276160</v>
      </c>
      <c r="C6" s="6">
        <v>15.2</v>
      </c>
      <c r="D6" s="4">
        <v>162479</v>
      </c>
      <c r="E6" s="6">
        <v>8.7200000000000006</v>
      </c>
      <c r="F6" s="8" t="s">
        <v>16</v>
      </c>
      <c r="G6" s="8" t="s">
        <v>16</v>
      </c>
      <c r="H6" s="8" t="s">
        <v>16</v>
      </c>
      <c r="I6" s="8" t="s">
        <v>16</v>
      </c>
    </row>
    <row r="7" spans="1:9" x14ac:dyDescent="0.35">
      <c r="A7" s="3" t="s">
        <v>9</v>
      </c>
      <c r="B7" s="4">
        <v>808072</v>
      </c>
      <c r="C7" s="6">
        <v>9.57</v>
      </c>
      <c r="D7" s="8" t="s">
        <v>16</v>
      </c>
      <c r="E7" s="8" t="s">
        <v>16</v>
      </c>
      <c r="F7" s="8" t="s">
        <v>16</v>
      </c>
      <c r="G7" s="8" t="s">
        <v>16</v>
      </c>
      <c r="H7" s="8" t="s">
        <v>16</v>
      </c>
      <c r="I7" s="8" t="s">
        <v>16</v>
      </c>
    </row>
    <row r="8" spans="1:9" x14ac:dyDescent="0.35">
      <c r="A8" s="3" t="s">
        <v>12</v>
      </c>
      <c r="B8" s="4">
        <v>808072</v>
      </c>
      <c r="C8" s="6">
        <v>9.57</v>
      </c>
      <c r="D8" s="8" t="s">
        <v>16</v>
      </c>
      <c r="E8" s="8" t="s">
        <v>16</v>
      </c>
      <c r="F8" s="8" t="s">
        <v>16</v>
      </c>
      <c r="G8" s="8" t="s">
        <v>16</v>
      </c>
      <c r="H8" s="8" t="s">
        <v>16</v>
      </c>
      <c r="I8" s="8" t="s">
        <v>16</v>
      </c>
    </row>
    <row r="9" spans="1:9" x14ac:dyDescent="0.35">
      <c r="A9" s="3" t="s">
        <v>10</v>
      </c>
      <c r="B9" s="4">
        <v>43058</v>
      </c>
      <c r="C9" s="6">
        <v>5.65</v>
      </c>
      <c r="D9" s="4">
        <v>16219</v>
      </c>
      <c r="E9" s="6">
        <v>3.4</v>
      </c>
      <c r="F9" s="8" t="s">
        <v>16</v>
      </c>
      <c r="G9" s="8" t="s">
        <v>16</v>
      </c>
      <c r="H9" s="8" t="s">
        <v>16</v>
      </c>
      <c r="I9" s="8" t="s">
        <v>16</v>
      </c>
    </row>
    <row r="10" spans="1:9" x14ac:dyDescent="0.35">
      <c r="A10" s="3" t="s">
        <v>13</v>
      </c>
      <c r="B10" s="4">
        <v>43058</v>
      </c>
      <c r="C10" s="6">
        <v>5.65</v>
      </c>
      <c r="D10" s="4">
        <v>16219</v>
      </c>
      <c r="E10" s="6">
        <v>3.4</v>
      </c>
      <c r="F10" s="8" t="s">
        <v>16</v>
      </c>
      <c r="G10" s="8" t="s">
        <v>16</v>
      </c>
      <c r="H10" s="8" t="s">
        <v>16</v>
      </c>
      <c r="I10" s="8" t="s">
        <v>16</v>
      </c>
    </row>
    <row r="11" spans="1:9" x14ac:dyDescent="0.35">
      <c r="A11" s="3" t="s">
        <v>14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 ht="29" x14ac:dyDescent="0.35">
      <c r="A12" s="5" t="s">
        <v>15</v>
      </c>
      <c r="B12" s="4">
        <v>0</v>
      </c>
      <c r="C12" s="4">
        <v>98000</v>
      </c>
      <c r="D12" s="4">
        <v>0</v>
      </c>
      <c r="E12" s="4">
        <v>99845</v>
      </c>
      <c r="F12" s="4">
        <v>0</v>
      </c>
      <c r="G12" s="4">
        <v>105100</v>
      </c>
      <c r="H12" s="4">
        <v>0</v>
      </c>
      <c r="I12" s="4">
        <v>105100</v>
      </c>
    </row>
    <row r="14" spans="1:9" x14ac:dyDescent="0.35">
      <c r="A14" s="9" t="s">
        <v>76</v>
      </c>
    </row>
    <row r="15" spans="1:9" x14ac:dyDescent="0.35">
      <c r="A15" s="9" t="s">
        <v>31</v>
      </c>
    </row>
    <row r="16" spans="1:9" x14ac:dyDescent="0.35">
      <c r="A16" s="9" t="s">
        <v>17</v>
      </c>
      <c r="C16" s="7"/>
      <c r="E16" s="7"/>
      <c r="G16" s="7"/>
    </row>
    <row r="17" spans="1:1" x14ac:dyDescent="0.35">
      <c r="A17" s="9" t="s">
        <v>32</v>
      </c>
    </row>
    <row r="18" spans="1:1" x14ac:dyDescent="0.35">
      <c r="A18" s="9" t="s">
        <v>34</v>
      </c>
    </row>
  </sheetData>
  <mergeCells count="5">
    <mergeCell ref="B1:C1"/>
    <mergeCell ref="D1:E1"/>
    <mergeCell ref="F1:G1"/>
    <mergeCell ref="A1:A2"/>
    <mergeCell ref="H1:I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DACB-88C8-4148-BA4A-94B72CFFE743}">
  <dimension ref="A1:I39"/>
  <sheetViews>
    <sheetView showGridLines="0" topLeftCell="A15" workbookViewId="0">
      <selection activeCell="I32" sqref="I32:I36"/>
    </sheetView>
  </sheetViews>
  <sheetFormatPr baseColWidth="10" defaultColWidth="8.7265625" defaultRowHeight="14.5" x14ac:dyDescent="0.35"/>
  <cols>
    <col min="1" max="1" width="37.08984375" style="1" bestFit="1" customWidth="1"/>
    <col min="2" max="7" width="15.08984375" customWidth="1"/>
    <col min="8" max="9" width="13.7265625" bestFit="1" customWidth="1"/>
  </cols>
  <sheetData>
    <row r="1" spans="1:9" x14ac:dyDescent="0.35">
      <c r="A1" s="30" t="s">
        <v>41</v>
      </c>
      <c r="B1" s="29" t="s">
        <v>0</v>
      </c>
      <c r="C1" s="29"/>
      <c r="D1" s="29" t="s">
        <v>1</v>
      </c>
      <c r="E1" s="29"/>
      <c r="F1" s="29" t="s">
        <v>2</v>
      </c>
      <c r="G1" s="29"/>
      <c r="H1" s="29" t="s">
        <v>77</v>
      </c>
      <c r="I1" s="29"/>
    </row>
    <row r="2" spans="1:9" x14ac:dyDescent="0.35">
      <c r="A2" s="31"/>
      <c r="B2" s="2" t="s">
        <v>3</v>
      </c>
      <c r="C2" s="2" t="s">
        <v>4</v>
      </c>
      <c r="D2" s="2" t="s">
        <v>3</v>
      </c>
      <c r="E2" s="2" t="s">
        <v>4</v>
      </c>
      <c r="F2" s="2" t="s">
        <v>3</v>
      </c>
      <c r="G2" s="2" t="s">
        <v>4</v>
      </c>
      <c r="H2" s="2" t="s">
        <v>3</v>
      </c>
      <c r="I2" s="2" t="s">
        <v>4</v>
      </c>
    </row>
    <row r="3" spans="1:9" x14ac:dyDescent="0.35">
      <c r="A3" s="17" t="s">
        <v>44</v>
      </c>
      <c r="B3" s="10">
        <v>11885</v>
      </c>
      <c r="C3" s="3">
        <v>2.4900000000000002</v>
      </c>
      <c r="D3" s="10">
        <v>13969</v>
      </c>
      <c r="E3" s="3">
        <v>2.73</v>
      </c>
      <c r="F3" s="10">
        <v>12511</v>
      </c>
      <c r="G3" s="3">
        <v>2.63</v>
      </c>
      <c r="H3" s="10">
        <v>12511</v>
      </c>
      <c r="I3" s="3">
        <v>2.73</v>
      </c>
    </row>
    <row r="4" spans="1:9" x14ac:dyDescent="0.35">
      <c r="A4" s="17" t="s">
        <v>45</v>
      </c>
      <c r="B4" s="10">
        <v>17270</v>
      </c>
      <c r="C4" s="3">
        <v>2.84</v>
      </c>
      <c r="D4" s="10">
        <v>13969</v>
      </c>
      <c r="E4" s="3">
        <v>2.73</v>
      </c>
      <c r="F4" s="10">
        <v>12524</v>
      </c>
      <c r="G4" s="3">
        <v>2.73</v>
      </c>
      <c r="H4" s="10">
        <v>12766</v>
      </c>
      <c r="I4" s="3">
        <v>2.84</v>
      </c>
    </row>
    <row r="5" spans="1:9" x14ac:dyDescent="0.35">
      <c r="A5" s="17" t="s">
        <v>46</v>
      </c>
      <c r="B5" s="10">
        <v>17969</v>
      </c>
      <c r="C5" s="3">
        <v>2.94</v>
      </c>
      <c r="D5" s="10">
        <v>13969</v>
      </c>
      <c r="E5" s="3">
        <v>2.84</v>
      </c>
      <c r="F5" s="10">
        <v>13298</v>
      </c>
      <c r="G5" s="3">
        <v>2.94</v>
      </c>
      <c r="H5" s="10">
        <v>13556</v>
      </c>
      <c r="I5" s="3">
        <v>2.94</v>
      </c>
    </row>
    <row r="6" spans="1:9" x14ac:dyDescent="0.35">
      <c r="A6" s="17" t="s">
        <v>47</v>
      </c>
      <c r="B6" s="11">
        <v>18708</v>
      </c>
      <c r="C6" s="3">
        <v>3.15</v>
      </c>
      <c r="D6" s="11">
        <v>16219</v>
      </c>
      <c r="E6" s="3">
        <v>3.4</v>
      </c>
      <c r="F6" s="11">
        <v>14794</v>
      </c>
      <c r="G6" s="3">
        <v>3.2</v>
      </c>
      <c r="H6" s="11">
        <v>16291</v>
      </c>
      <c r="I6" s="3">
        <v>3.23</v>
      </c>
    </row>
    <row r="7" spans="1:9" x14ac:dyDescent="0.35">
      <c r="A7" s="17" t="s">
        <v>48</v>
      </c>
      <c r="B7" s="11">
        <v>19299</v>
      </c>
      <c r="C7" s="3">
        <v>3.58</v>
      </c>
      <c r="D7" s="12">
        <v>16219</v>
      </c>
      <c r="E7" s="13">
        <v>3.4</v>
      </c>
      <c r="F7" s="11">
        <v>16687</v>
      </c>
      <c r="G7" s="3">
        <v>3.68</v>
      </c>
      <c r="H7" s="11">
        <v>16816</v>
      </c>
      <c r="I7" s="3">
        <v>3.7</v>
      </c>
    </row>
    <row r="8" spans="1:9" x14ac:dyDescent="0.35">
      <c r="A8" s="17" t="s">
        <v>49</v>
      </c>
      <c r="B8" s="11">
        <v>16657</v>
      </c>
      <c r="C8" s="3">
        <v>3.24</v>
      </c>
      <c r="D8" s="12">
        <v>16219</v>
      </c>
      <c r="E8" s="13">
        <v>3.13</v>
      </c>
      <c r="F8" s="11">
        <v>17800</v>
      </c>
      <c r="G8" s="3">
        <v>3.8</v>
      </c>
      <c r="H8" s="11">
        <v>16291</v>
      </c>
      <c r="I8" s="3">
        <v>3.15</v>
      </c>
    </row>
    <row r="9" spans="1:9" x14ac:dyDescent="0.35">
      <c r="A9" s="17" t="s">
        <v>50</v>
      </c>
      <c r="B9" s="11">
        <v>43058</v>
      </c>
      <c r="C9" s="3">
        <v>5.65</v>
      </c>
      <c r="D9" s="12">
        <v>47199</v>
      </c>
      <c r="E9" s="13">
        <v>6.41</v>
      </c>
      <c r="F9" s="11">
        <v>42807</v>
      </c>
      <c r="G9" s="3">
        <v>5.89</v>
      </c>
      <c r="H9" s="11">
        <v>44037</v>
      </c>
      <c r="I9" s="3">
        <v>6.31</v>
      </c>
    </row>
    <row r="10" spans="1:9" x14ac:dyDescent="0.35">
      <c r="A10" s="17" t="s">
        <v>51</v>
      </c>
      <c r="B10" s="11">
        <v>51784</v>
      </c>
      <c r="C10" s="3">
        <v>7.39</v>
      </c>
      <c r="D10" s="12">
        <v>61339</v>
      </c>
      <c r="E10" s="13">
        <v>8.83</v>
      </c>
      <c r="F10" s="11">
        <v>55703</v>
      </c>
      <c r="G10" s="3">
        <v>7.78</v>
      </c>
      <c r="H10" s="11">
        <v>52984</v>
      </c>
      <c r="I10" s="3">
        <v>7.57</v>
      </c>
    </row>
    <row r="11" spans="1:9" x14ac:dyDescent="0.35">
      <c r="A11" s="17" t="s">
        <v>52</v>
      </c>
      <c r="B11" s="11">
        <v>69831</v>
      </c>
      <c r="C11" s="3">
        <v>9.86</v>
      </c>
      <c r="D11" s="12">
        <v>82344</v>
      </c>
      <c r="E11" s="13">
        <v>11.59</v>
      </c>
      <c r="F11" s="11">
        <v>110355</v>
      </c>
      <c r="G11" s="3">
        <v>11.56</v>
      </c>
      <c r="H11" s="11">
        <v>69892</v>
      </c>
      <c r="I11" s="3">
        <v>9.6</v>
      </c>
    </row>
    <row r="12" spans="1:9" x14ac:dyDescent="0.35">
      <c r="A12" s="17" t="s">
        <v>53</v>
      </c>
      <c r="B12" s="11">
        <v>94999</v>
      </c>
      <c r="C12" s="3">
        <v>11.71</v>
      </c>
      <c r="D12" s="12">
        <v>114750</v>
      </c>
      <c r="E12" s="13">
        <v>14.03</v>
      </c>
      <c r="F12" s="11">
        <v>334218</v>
      </c>
      <c r="G12" s="3">
        <v>15.03</v>
      </c>
      <c r="H12" s="11">
        <v>105100</v>
      </c>
      <c r="I12" s="3">
        <v>11.98</v>
      </c>
    </row>
    <row r="13" spans="1:9" x14ac:dyDescent="0.35">
      <c r="A13" s="17" t="s">
        <v>54</v>
      </c>
      <c r="B13" s="11">
        <v>181071</v>
      </c>
      <c r="C13" s="3">
        <v>14.03</v>
      </c>
      <c r="D13" s="12">
        <v>202742</v>
      </c>
      <c r="E13" s="13">
        <v>13.28</v>
      </c>
      <c r="F13" s="11">
        <v>472950</v>
      </c>
      <c r="G13" s="3">
        <v>17.55</v>
      </c>
      <c r="H13" s="12" t="s">
        <v>16</v>
      </c>
      <c r="I13" s="12" t="s">
        <v>16</v>
      </c>
    </row>
    <row r="14" spans="1:9" x14ac:dyDescent="0.35">
      <c r="A14" s="17" t="s">
        <v>18</v>
      </c>
      <c r="B14" s="11">
        <v>162479</v>
      </c>
      <c r="C14" s="3">
        <v>8.7200000000000006</v>
      </c>
      <c r="D14" s="12">
        <v>168835</v>
      </c>
      <c r="E14" s="13">
        <v>8.8699999999999992</v>
      </c>
      <c r="F14" s="11">
        <v>161529</v>
      </c>
      <c r="G14" s="3">
        <v>8.73</v>
      </c>
      <c r="H14" s="12" t="s">
        <v>16</v>
      </c>
      <c r="I14" s="12" t="s">
        <v>16</v>
      </c>
    </row>
    <row r="15" spans="1:9" x14ac:dyDescent="0.35">
      <c r="A15" s="17" t="s">
        <v>19</v>
      </c>
      <c r="B15" s="11">
        <v>210656</v>
      </c>
      <c r="C15" s="3">
        <v>12.43</v>
      </c>
      <c r="D15" s="12">
        <v>221527</v>
      </c>
      <c r="E15" s="13">
        <v>12.82</v>
      </c>
      <c r="F15" s="11">
        <v>206559</v>
      </c>
      <c r="G15" s="3">
        <v>12.51</v>
      </c>
      <c r="H15" s="12" t="s">
        <v>16</v>
      </c>
      <c r="I15" s="12" t="s">
        <v>16</v>
      </c>
    </row>
    <row r="16" spans="1:9" x14ac:dyDescent="0.35">
      <c r="A16" s="17" t="s">
        <v>20</v>
      </c>
      <c r="B16" s="11">
        <v>276160</v>
      </c>
      <c r="C16" s="3">
        <v>15.2</v>
      </c>
      <c r="D16" s="12" t="s">
        <v>16</v>
      </c>
      <c r="E16" s="12" t="s">
        <v>16</v>
      </c>
      <c r="F16" s="11">
        <v>289629</v>
      </c>
      <c r="G16" s="3">
        <v>15.6</v>
      </c>
      <c r="H16" s="12" t="s">
        <v>16</v>
      </c>
      <c r="I16" s="12" t="s">
        <v>16</v>
      </c>
    </row>
    <row r="17" spans="1:9" x14ac:dyDescent="0.35">
      <c r="A17" s="17" t="s">
        <v>21</v>
      </c>
      <c r="B17" s="11">
        <v>321040</v>
      </c>
      <c r="C17" s="3">
        <v>18.28</v>
      </c>
      <c r="D17" s="12" t="s">
        <v>16</v>
      </c>
      <c r="E17" s="12" t="s">
        <v>16</v>
      </c>
      <c r="F17" s="11">
        <v>322363</v>
      </c>
      <c r="G17" s="3">
        <v>19.8</v>
      </c>
      <c r="H17" s="12" t="s">
        <v>16</v>
      </c>
      <c r="I17" s="12" t="s">
        <v>16</v>
      </c>
    </row>
    <row r="20" spans="1:9" x14ac:dyDescent="0.35">
      <c r="A20" s="30" t="s">
        <v>42</v>
      </c>
      <c r="B20" s="29" t="s">
        <v>0</v>
      </c>
      <c r="C20" s="29"/>
      <c r="D20" s="29" t="s">
        <v>1</v>
      </c>
      <c r="E20" s="29"/>
      <c r="F20" s="29" t="s">
        <v>2</v>
      </c>
      <c r="G20" s="29"/>
      <c r="H20" s="29" t="s">
        <v>77</v>
      </c>
      <c r="I20" s="29"/>
    </row>
    <row r="21" spans="1:9" x14ac:dyDescent="0.35">
      <c r="A21" s="31"/>
      <c r="B21" s="2" t="s">
        <v>3</v>
      </c>
      <c r="C21" s="2" t="s">
        <v>4</v>
      </c>
      <c r="D21" s="2" t="s">
        <v>3</v>
      </c>
      <c r="E21" s="2" t="s">
        <v>4</v>
      </c>
      <c r="F21" s="2" t="s">
        <v>3</v>
      </c>
      <c r="G21" s="2" t="s">
        <v>4</v>
      </c>
      <c r="H21" s="2" t="s">
        <v>3</v>
      </c>
      <c r="I21" s="2" t="s">
        <v>4</v>
      </c>
    </row>
    <row r="22" spans="1:9" x14ac:dyDescent="0.35">
      <c r="A22" s="17" t="s">
        <v>44</v>
      </c>
      <c r="B22" s="10">
        <v>11885</v>
      </c>
      <c r="C22" s="3">
        <v>4.78</v>
      </c>
      <c r="D22" s="10">
        <v>13969</v>
      </c>
      <c r="E22" s="3">
        <v>5.01</v>
      </c>
      <c r="F22" s="10">
        <v>12511</v>
      </c>
      <c r="G22" s="3">
        <v>5.05</v>
      </c>
      <c r="H22" s="10">
        <v>12511</v>
      </c>
      <c r="I22" s="3">
        <v>5.15</v>
      </c>
    </row>
    <row r="23" spans="1:9" x14ac:dyDescent="0.35">
      <c r="A23" s="17" t="s">
        <v>45</v>
      </c>
      <c r="B23" s="10">
        <v>17270</v>
      </c>
      <c r="C23" s="3">
        <v>5.43</v>
      </c>
      <c r="D23" s="10">
        <v>13969</v>
      </c>
      <c r="E23" s="3">
        <v>5.3100000000000005</v>
      </c>
      <c r="F23" s="10">
        <v>12524</v>
      </c>
      <c r="G23" s="3">
        <v>5.3599999999999994</v>
      </c>
      <c r="H23" s="10">
        <v>12766</v>
      </c>
      <c r="I23" s="3">
        <v>5.4699999999999989</v>
      </c>
    </row>
    <row r="24" spans="1:9" x14ac:dyDescent="0.35">
      <c r="A24" s="17" t="s">
        <v>46</v>
      </c>
      <c r="B24" s="10">
        <v>17969</v>
      </c>
      <c r="C24" s="3">
        <v>5.6099999999999994</v>
      </c>
      <c r="D24" s="10">
        <v>13969</v>
      </c>
      <c r="E24" s="3">
        <v>5.42</v>
      </c>
      <c r="F24" s="10">
        <v>13298</v>
      </c>
      <c r="G24" s="3">
        <v>5.67</v>
      </c>
      <c r="H24" s="10">
        <v>13556</v>
      </c>
      <c r="I24" s="3">
        <v>5.67</v>
      </c>
    </row>
    <row r="25" spans="1:9" x14ac:dyDescent="0.35">
      <c r="A25" s="17" t="s">
        <v>47</v>
      </c>
      <c r="B25" s="11">
        <v>18708</v>
      </c>
      <c r="C25" s="3">
        <v>5.82</v>
      </c>
      <c r="D25" s="11">
        <v>16219</v>
      </c>
      <c r="E25" s="3">
        <v>5.98</v>
      </c>
      <c r="F25" s="11">
        <v>14794</v>
      </c>
      <c r="G25" s="3">
        <v>6.04</v>
      </c>
      <c r="H25" s="10">
        <v>16291</v>
      </c>
      <c r="I25" s="3">
        <v>6.07</v>
      </c>
    </row>
    <row r="26" spans="1:9" x14ac:dyDescent="0.35">
      <c r="A26" s="17" t="s">
        <v>48</v>
      </c>
      <c r="B26" s="11">
        <v>19299</v>
      </c>
      <c r="C26" s="3">
        <v>6.25</v>
      </c>
      <c r="D26" s="12">
        <v>16219</v>
      </c>
      <c r="E26" s="3">
        <v>5.98</v>
      </c>
      <c r="F26" s="11">
        <v>16687</v>
      </c>
      <c r="G26" s="3">
        <v>6.62</v>
      </c>
      <c r="H26" s="10">
        <v>16816</v>
      </c>
      <c r="I26" s="3">
        <v>6.6400000000000006</v>
      </c>
    </row>
    <row r="27" spans="1:9" x14ac:dyDescent="0.35">
      <c r="A27" s="17" t="s">
        <v>49</v>
      </c>
      <c r="B27" s="11">
        <v>16657</v>
      </c>
      <c r="C27" s="3">
        <v>5.91</v>
      </c>
      <c r="D27" s="12">
        <v>16219</v>
      </c>
      <c r="E27" s="3">
        <v>5.71</v>
      </c>
      <c r="F27" s="11">
        <v>17800</v>
      </c>
      <c r="G27" s="3">
        <v>6.85</v>
      </c>
      <c r="H27" s="10">
        <v>16291</v>
      </c>
      <c r="I27" s="3">
        <v>6.1999999999999993</v>
      </c>
    </row>
    <row r="28" spans="1:9" x14ac:dyDescent="0.35">
      <c r="A28" s="17" t="s">
        <v>50</v>
      </c>
      <c r="B28" s="11">
        <v>43058</v>
      </c>
      <c r="C28" s="3">
        <v>8.32</v>
      </c>
      <c r="D28" s="12">
        <v>47199</v>
      </c>
      <c r="E28" s="13">
        <v>8.99</v>
      </c>
      <c r="F28" s="11">
        <v>42807</v>
      </c>
      <c r="G28" s="3">
        <v>8.94</v>
      </c>
      <c r="H28" s="10">
        <v>44037</v>
      </c>
      <c r="I28" s="3">
        <v>9.36</v>
      </c>
    </row>
    <row r="29" spans="1:9" x14ac:dyDescent="0.35">
      <c r="A29" s="17" t="s">
        <v>51</v>
      </c>
      <c r="B29" s="11">
        <v>51784</v>
      </c>
      <c r="C29" s="3">
        <v>10.059999999999999</v>
      </c>
      <c r="D29" s="12">
        <v>61339</v>
      </c>
      <c r="E29" s="13">
        <v>11.41</v>
      </c>
      <c r="F29" s="11">
        <v>55703</v>
      </c>
      <c r="G29" s="3">
        <v>10.83</v>
      </c>
      <c r="H29" s="10">
        <v>52984</v>
      </c>
      <c r="I29" s="3">
        <v>10.620000000000001</v>
      </c>
    </row>
    <row r="30" spans="1:9" x14ac:dyDescent="0.35">
      <c r="A30" s="17" t="s">
        <v>52</v>
      </c>
      <c r="B30" s="11">
        <v>69831</v>
      </c>
      <c r="C30" s="3">
        <v>12.53</v>
      </c>
      <c r="D30" s="12">
        <v>82344</v>
      </c>
      <c r="E30" s="13">
        <v>14.17</v>
      </c>
      <c r="F30" s="11">
        <v>110355</v>
      </c>
      <c r="G30" s="3">
        <v>14.61</v>
      </c>
      <c r="H30" s="10">
        <v>69892</v>
      </c>
      <c r="I30" s="3">
        <v>12.649999999999999</v>
      </c>
    </row>
    <row r="31" spans="1:9" x14ac:dyDescent="0.35">
      <c r="A31" s="17" t="s">
        <v>53</v>
      </c>
      <c r="B31" s="11">
        <v>94999</v>
      </c>
      <c r="C31" s="3">
        <v>14.38</v>
      </c>
      <c r="D31" s="12">
        <v>114750</v>
      </c>
      <c r="E31" s="13">
        <v>16.61</v>
      </c>
      <c r="F31" s="11">
        <v>334218</v>
      </c>
      <c r="G31" s="3">
        <v>18.079999999999998</v>
      </c>
      <c r="H31" s="10">
        <v>105100</v>
      </c>
      <c r="I31" s="3">
        <v>15.03</v>
      </c>
    </row>
    <row r="32" spans="1:9" x14ac:dyDescent="0.35">
      <c r="A32" s="17" t="s">
        <v>54</v>
      </c>
      <c r="B32" s="11">
        <v>181071</v>
      </c>
      <c r="C32" s="3">
        <v>16.7</v>
      </c>
      <c r="D32" s="12">
        <v>202742</v>
      </c>
      <c r="E32" s="13">
        <v>15.86</v>
      </c>
      <c r="F32" s="11">
        <v>472950</v>
      </c>
      <c r="G32" s="3">
        <v>20.6</v>
      </c>
      <c r="H32" s="10" t="s">
        <v>16</v>
      </c>
      <c r="I32" s="10" t="s">
        <v>16</v>
      </c>
    </row>
    <row r="33" spans="1:9" x14ac:dyDescent="0.35">
      <c r="A33" s="17" t="s">
        <v>18</v>
      </c>
      <c r="B33" s="11">
        <v>162479</v>
      </c>
      <c r="C33" s="3">
        <v>11.39</v>
      </c>
      <c r="D33" s="12">
        <v>168835</v>
      </c>
      <c r="E33" s="13">
        <v>11.45</v>
      </c>
      <c r="F33" s="11">
        <v>161529</v>
      </c>
      <c r="G33" s="3">
        <v>11.780000000000001</v>
      </c>
      <c r="H33" s="10" t="s">
        <v>16</v>
      </c>
      <c r="I33" s="10" t="s">
        <v>16</v>
      </c>
    </row>
    <row r="34" spans="1:9" x14ac:dyDescent="0.35">
      <c r="A34" s="17" t="s">
        <v>19</v>
      </c>
      <c r="B34" s="11">
        <v>210656</v>
      </c>
      <c r="C34" s="3">
        <v>15.1</v>
      </c>
      <c r="D34" s="12">
        <v>221527</v>
      </c>
      <c r="E34" s="13">
        <v>15.4</v>
      </c>
      <c r="F34" s="11">
        <v>206559</v>
      </c>
      <c r="G34" s="3">
        <v>15.559999999999999</v>
      </c>
      <c r="H34" s="10" t="s">
        <v>16</v>
      </c>
      <c r="I34" s="10" t="s">
        <v>16</v>
      </c>
    </row>
    <row r="35" spans="1:9" x14ac:dyDescent="0.35">
      <c r="A35" s="17" t="s">
        <v>20</v>
      </c>
      <c r="B35" s="11">
        <v>276160</v>
      </c>
      <c r="C35" s="3">
        <v>17.869999999999997</v>
      </c>
      <c r="D35" s="12" t="s">
        <v>16</v>
      </c>
      <c r="E35" s="12" t="s">
        <v>16</v>
      </c>
      <c r="F35" s="11">
        <v>289629</v>
      </c>
      <c r="G35" s="3">
        <v>18.649999999999999</v>
      </c>
      <c r="H35" s="10" t="s">
        <v>16</v>
      </c>
      <c r="I35" s="10" t="s">
        <v>16</v>
      </c>
    </row>
    <row r="36" spans="1:9" x14ac:dyDescent="0.35">
      <c r="A36" s="17" t="s">
        <v>21</v>
      </c>
      <c r="B36" s="11">
        <v>321040</v>
      </c>
      <c r="C36" s="3">
        <v>20.950000000000003</v>
      </c>
      <c r="D36" s="12" t="s">
        <v>16</v>
      </c>
      <c r="E36" s="12" t="s">
        <v>16</v>
      </c>
      <c r="F36" s="11">
        <v>322363</v>
      </c>
      <c r="G36" s="3">
        <v>22.85</v>
      </c>
      <c r="H36" s="10" t="s">
        <v>16</v>
      </c>
      <c r="I36" s="10" t="s">
        <v>16</v>
      </c>
    </row>
    <row r="38" spans="1:9" x14ac:dyDescent="0.35">
      <c r="A38" s="9" t="s">
        <v>43</v>
      </c>
    </row>
    <row r="39" spans="1:9" x14ac:dyDescent="0.35">
      <c r="A39" s="9" t="s">
        <v>55</v>
      </c>
    </row>
  </sheetData>
  <protectedRanges>
    <protectedRange algorithmName="SHA-512" hashValue="fSC3GQfLusKvmnNUg9VKeBcSwNFPRq0CVBgE9BTitgk0bA2BWQUX2GiNUnU4zrx3e3+5Nt+LR9VutbPLx171zA==" saltValue="zzxDWHNUTCHLgxkAe7mimg==" spinCount="100000" sqref="C33:C36 B29:D32 F29:F32 E29:E34 G29:G36 B9:I12 B28:G28 B13:G13" name="tarifas_tdv_banco_1"/>
    <protectedRange algorithmName="SHA-512" hashValue="fSC3GQfLusKvmnNUg9VKeBcSwNFPRq0CVBgE9BTitgk0bA2BWQUX2GiNUnU4zrx3e3+5Nt+LR9VutbPLx171zA==" saltValue="zzxDWHNUTCHLgxkAe7mimg==" spinCount="100000" sqref="B33:B36 D35:F36 D33:D34 F33:F34 B14:G17 H13:I17" name="tarifas_tdv_banco_2"/>
  </protectedRanges>
  <mergeCells count="10">
    <mergeCell ref="H1:I1"/>
    <mergeCell ref="H20:I20"/>
    <mergeCell ref="A1:A2"/>
    <mergeCell ref="B1:C1"/>
    <mergeCell ref="D1:E1"/>
    <mergeCell ref="F1:G1"/>
    <mergeCell ref="A20:A21"/>
    <mergeCell ref="B20:C20"/>
    <mergeCell ref="D20:E20"/>
    <mergeCell ref="F20:G2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EBBE-C52E-4AB3-92F2-B391DE523456}">
  <dimension ref="A1:I26"/>
  <sheetViews>
    <sheetView showGridLines="0" workbookViewId="0">
      <selection activeCell="I19" sqref="I19:I22"/>
    </sheetView>
  </sheetViews>
  <sheetFormatPr baseColWidth="10" defaultRowHeight="14.5" x14ac:dyDescent="0.35"/>
  <cols>
    <col min="1" max="1" width="40.1796875" style="16" bestFit="1" customWidth="1"/>
    <col min="2" max="2" width="12.453125" customWidth="1"/>
    <col min="3" max="3" width="14.36328125" customWidth="1"/>
    <col min="5" max="5" width="17.6328125" customWidth="1"/>
    <col min="7" max="7" width="16.26953125" customWidth="1"/>
  </cols>
  <sheetData>
    <row r="1" spans="1:9" x14ac:dyDescent="0.35">
      <c r="A1" s="29" t="s">
        <v>5</v>
      </c>
      <c r="B1" s="29" t="s">
        <v>0</v>
      </c>
      <c r="C1" s="29"/>
      <c r="D1" s="29" t="s">
        <v>1</v>
      </c>
      <c r="E1" s="29"/>
      <c r="F1" s="29" t="s">
        <v>2</v>
      </c>
      <c r="G1" s="29"/>
      <c r="H1" s="29" t="s">
        <v>77</v>
      </c>
      <c r="I1" s="29"/>
    </row>
    <row r="2" spans="1:9" x14ac:dyDescent="0.35">
      <c r="A2" s="29"/>
      <c r="B2" s="2" t="s">
        <v>3</v>
      </c>
      <c r="C2" s="2" t="s">
        <v>4</v>
      </c>
      <c r="D2" s="2" t="s">
        <v>3</v>
      </c>
      <c r="E2" s="2" t="s">
        <v>4</v>
      </c>
      <c r="F2" s="2" t="s">
        <v>3</v>
      </c>
      <c r="G2" s="2" t="s">
        <v>4</v>
      </c>
      <c r="H2" s="2" t="s">
        <v>3</v>
      </c>
      <c r="I2" s="2" t="s">
        <v>4</v>
      </c>
    </row>
    <row r="3" spans="1:9" x14ac:dyDescent="0.35">
      <c r="A3" s="26" t="s">
        <v>60</v>
      </c>
      <c r="B3" s="14">
        <v>15559</v>
      </c>
      <c r="C3" s="15">
        <v>2.8</v>
      </c>
      <c r="D3" s="14">
        <v>16606</v>
      </c>
      <c r="E3" s="15">
        <v>3.13</v>
      </c>
      <c r="F3" s="14">
        <v>16254</v>
      </c>
      <c r="G3" s="15">
        <v>2.94</v>
      </c>
      <c r="H3" s="14">
        <v>16368</v>
      </c>
      <c r="I3" s="15">
        <v>3.05</v>
      </c>
    </row>
    <row r="4" spans="1:9" x14ac:dyDescent="0.35">
      <c r="A4" s="26" t="s">
        <v>61</v>
      </c>
      <c r="B4" s="14">
        <v>22644</v>
      </c>
      <c r="C4" s="15">
        <v>2.94</v>
      </c>
      <c r="D4" s="14">
        <v>17342</v>
      </c>
      <c r="E4" s="15">
        <v>3.13</v>
      </c>
      <c r="F4" s="14">
        <v>16515</v>
      </c>
      <c r="G4" s="15">
        <v>3.05</v>
      </c>
      <c r="H4" s="14">
        <v>17331</v>
      </c>
      <c r="I4" s="15">
        <v>3.15</v>
      </c>
    </row>
    <row r="5" spans="1:9" x14ac:dyDescent="0.35">
      <c r="A5" s="26" t="s">
        <v>62</v>
      </c>
      <c r="B5" s="14">
        <v>22572</v>
      </c>
      <c r="C5" s="15">
        <v>3.58</v>
      </c>
      <c r="D5" s="14">
        <v>16919</v>
      </c>
      <c r="E5" s="15">
        <v>3.23</v>
      </c>
      <c r="F5" s="14">
        <v>17710</v>
      </c>
      <c r="G5" s="15">
        <v>3.26</v>
      </c>
      <c r="H5" s="14">
        <v>17331</v>
      </c>
      <c r="I5" s="15">
        <v>3.36</v>
      </c>
    </row>
    <row r="6" spans="1:9" x14ac:dyDescent="0.35">
      <c r="A6" s="26" t="s">
        <v>63</v>
      </c>
      <c r="B6" s="14">
        <v>23599</v>
      </c>
      <c r="C6" s="15">
        <v>3.58</v>
      </c>
      <c r="D6" s="14">
        <v>17746</v>
      </c>
      <c r="E6" s="15">
        <v>3.76</v>
      </c>
      <c r="F6" s="14">
        <v>18938</v>
      </c>
      <c r="G6" s="15">
        <v>3.78</v>
      </c>
      <c r="H6" s="14">
        <v>18918</v>
      </c>
      <c r="I6" s="15">
        <v>3.89</v>
      </c>
    </row>
    <row r="7" spans="1:9" x14ac:dyDescent="0.35">
      <c r="A7" s="26" t="s">
        <v>64</v>
      </c>
      <c r="B7" s="14">
        <v>24626</v>
      </c>
      <c r="C7" s="15">
        <v>4.84</v>
      </c>
      <c r="D7" s="14">
        <v>18651</v>
      </c>
      <c r="E7" s="15">
        <v>3.87</v>
      </c>
      <c r="F7" s="14">
        <v>18947</v>
      </c>
      <c r="G7" s="15">
        <v>4.5199999999999996</v>
      </c>
      <c r="H7" s="14">
        <v>19444</v>
      </c>
      <c r="I7" s="15">
        <v>4.3099999999999996</v>
      </c>
    </row>
    <row r="8" spans="1:9" x14ac:dyDescent="0.35">
      <c r="A8" s="26" t="s">
        <v>65</v>
      </c>
      <c r="B8" s="14">
        <v>21316</v>
      </c>
      <c r="C8" s="15">
        <v>3.79</v>
      </c>
      <c r="D8" s="14">
        <v>21588</v>
      </c>
      <c r="E8" s="15">
        <v>4.0999999999999996</v>
      </c>
      <c r="F8" s="14">
        <v>22439</v>
      </c>
      <c r="G8" s="15">
        <v>3.99</v>
      </c>
      <c r="H8" s="14">
        <v>22920</v>
      </c>
      <c r="I8" s="15">
        <v>4.3099999999999996</v>
      </c>
    </row>
    <row r="9" spans="1:9" x14ac:dyDescent="0.35">
      <c r="A9" s="26" t="s">
        <v>66</v>
      </c>
      <c r="B9" s="14">
        <v>29437</v>
      </c>
      <c r="C9" s="15">
        <v>3.93</v>
      </c>
      <c r="D9" s="14">
        <v>22544</v>
      </c>
      <c r="E9" s="15">
        <v>4.1900000000000004</v>
      </c>
      <c r="F9" s="14">
        <v>23748</v>
      </c>
      <c r="G9" s="15">
        <v>4.3099999999999996</v>
      </c>
      <c r="H9" s="14">
        <v>23401</v>
      </c>
      <c r="I9" s="15">
        <v>4.5199999999999996</v>
      </c>
    </row>
    <row r="10" spans="1:9" x14ac:dyDescent="0.35">
      <c r="A10" s="26" t="s">
        <v>67</v>
      </c>
      <c r="B10" s="14">
        <v>29344</v>
      </c>
      <c r="C10" s="15">
        <v>4.7699999999999996</v>
      </c>
      <c r="D10" s="14">
        <v>22544</v>
      </c>
      <c r="E10" s="15">
        <v>4.1900000000000004</v>
      </c>
      <c r="F10" s="14">
        <v>24263</v>
      </c>
      <c r="G10" s="15">
        <v>4.41</v>
      </c>
      <c r="H10" s="14">
        <v>23401</v>
      </c>
      <c r="I10" s="15">
        <v>4.5199999999999996</v>
      </c>
    </row>
    <row r="11" spans="1:9" x14ac:dyDescent="0.35">
      <c r="A11" s="26" t="s">
        <v>68</v>
      </c>
      <c r="B11" s="14">
        <v>30679</v>
      </c>
      <c r="C11" s="15">
        <v>4.7699999999999996</v>
      </c>
      <c r="D11" s="14">
        <v>23070</v>
      </c>
      <c r="E11" s="15">
        <v>5.0199999999999996</v>
      </c>
      <c r="F11" s="14">
        <v>25374</v>
      </c>
      <c r="G11" s="15">
        <v>5.15</v>
      </c>
      <c r="H11" s="14">
        <v>25168</v>
      </c>
      <c r="I11" s="15">
        <v>5.47</v>
      </c>
    </row>
    <row r="12" spans="1:9" x14ac:dyDescent="0.35">
      <c r="A12" s="26" t="s">
        <v>69</v>
      </c>
      <c r="B12" s="14">
        <v>32014</v>
      </c>
      <c r="C12" s="15">
        <v>6.45</v>
      </c>
      <c r="D12" s="14">
        <v>23366</v>
      </c>
      <c r="E12" s="15">
        <v>5.0199999999999996</v>
      </c>
      <c r="F12" s="14">
        <v>25523</v>
      </c>
      <c r="G12" s="15">
        <v>6.2</v>
      </c>
      <c r="H12" s="14">
        <v>25000</v>
      </c>
      <c r="I12" s="15">
        <v>5.68</v>
      </c>
    </row>
    <row r="13" spans="1:9" x14ac:dyDescent="0.35">
      <c r="A13" s="26" t="s">
        <v>70</v>
      </c>
      <c r="B13" s="14">
        <v>18780</v>
      </c>
      <c r="C13" s="15">
        <v>4.42</v>
      </c>
      <c r="D13" s="14">
        <v>18286</v>
      </c>
      <c r="E13" s="15">
        <v>4.5199999999999996</v>
      </c>
      <c r="F13" s="14">
        <v>20307</v>
      </c>
      <c r="G13" s="15">
        <v>4.7300000000000004</v>
      </c>
      <c r="H13" s="14">
        <v>19444</v>
      </c>
      <c r="I13" s="15">
        <v>4.3099999999999996</v>
      </c>
    </row>
    <row r="14" spans="1:9" x14ac:dyDescent="0.35">
      <c r="A14" s="26" t="s">
        <v>71</v>
      </c>
      <c r="B14" s="14">
        <v>25423</v>
      </c>
      <c r="C14" s="15">
        <v>5.83</v>
      </c>
      <c r="D14" s="14">
        <v>23368</v>
      </c>
      <c r="E14" s="15">
        <v>5.88</v>
      </c>
      <c r="F14" s="14">
        <v>27821</v>
      </c>
      <c r="G14" s="15">
        <v>6.52</v>
      </c>
      <c r="H14" s="14">
        <v>24699</v>
      </c>
      <c r="I14" s="15">
        <v>5.68</v>
      </c>
    </row>
    <row r="15" spans="1:9" x14ac:dyDescent="0.35">
      <c r="A15" s="26" t="s">
        <v>72</v>
      </c>
      <c r="B15" s="14">
        <v>20286</v>
      </c>
      <c r="C15" s="15">
        <v>4.53</v>
      </c>
      <c r="D15" s="14">
        <v>47295</v>
      </c>
      <c r="E15" s="15">
        <v>5.36</v>
      </c>
      <c r="F15" s="14">
        <v>61076</v>
      </c>
      <c r="G15" s="15">
        <v>4.5999999999999996</v>
      </c>
      <c r="H15" s="14">
        <v>16291</v>
      </c>
      <c r="I15" s="15">
        <v>3.15</v>
      </c>
    </row>
    <row r="16" spans="1:9" x14ac:dyDescent="0.35">
      <c r="A16" s="26" t="s">
        <v>73</v>
      </c>
      <c r="B16" s="14">
        <v>72590</v>
      </c>
      <c r="C16" s="15">
        <v>4.21</v>
      </c>
      <c r="D16" s="14">
        <v>70682</v>
      </c>
      <c r="E16" s="15">
        <v>7.54</v>
      </c>
      <c r="F16" s="14">
        <v>84454</v>
      </c>
      <c r="G16" s="15">
        <v>6.2</v>
      </c>
      <c r="H16" s="14">
        <v>24909</v>
      </c>
      <c r="I16" s="15">
        <v>3.99</v>
      </c>
    </row>
    <row r="17" spans="1:9" x14ac:dyDescent="0.35">
      <c r="A17" s="26" t="s">
        <v>74</v>
      </c>
      <c r="B17" s="14">
        <v>62629</v>
      </c>
      <c r="C17" s="15">
        <v>3.9</v>
      </c>
      <c r="D17" s="14">
        <v>60982</v>
      </c>
      <c r="E17" s="15">
        <v>4.7300000000000004</v>
      </c>
      <c r="F17" s="14">
        <v>60324</v>
      </c>
      <c r="G17" s="15">
        <v>3.8</v>
      </c>
      <c r="H17" s="14">
        <v>58000</v>
      </c>
      <c r="I17" s="15">
        <v>3.8</v>
      </c>
    </row>
    <row r="18" spans="1:9" x14ac:dyDescent="0.35">
      <c r="A18" s="26" t="s">
        <v>75</v>
      </c>
      <c r="B18" s="14">
        <v>73956</v>
      </c>
      <c r="C18" s="15">
        <v>5.44</v>
      </c>
      <c r="D18" s="14">
        <v>72011</v>
      </c>
      <c r="E18" s="15">
        <v>6.1</v>
      </c>
      <c r="F18" s="14">
        <v>84454</v>
      </c>
      <c r="G18" s="15">
        <v>5.47</v>
      </c>
      <c r="H18" s="14">
        <v>68500</v>
      </c>
      <c r="I18" s="15">
        <v>5.57</v>
      </c>
    </row>
    <row r="19" spans="1:9" x14ac:dyDescent="0.35">
      <c r="A19" s="26" t="s">
        <v>56</v>
      </c>
      <c r="B19" s="14">
        <v>158307</v>
      </c>
      <c r="C19" s="18" t="s">
        <v>37</v>
      </c>
      <c r="D19" s="14">
        <v>158012</v>
      </c>
      <c r="E19" s="18" t="s">
        <v>37</v>
      </c>
      <c r="F19" s="14">
        <v>157715</v>
      </c>
      <c r="G19" s="18" t="s">
        <v>37</v>
      </c>
      <c r="H19" s="14">
        <v>161996</v>
      </c>
      <c r="I19" s="18" t="s">
        <v>37</v>
      </c>
    </row>
    <row r="20" spans="1:9" x14ac:dyDescent="0.35">
      <c r="A20" s="26" t="s">
        <v>57</v>
      </c>
      <c r="B20" s="14">
        <v>195500</v>
      </c>
      <c r="C20" s="18" t="s">
        <v>37</v>
      </c>
      <c r="D20" s="14">
        <v>182814</v>
      </c>
      <c r="E20" s="18" t="s">
        <v>37</v>
      </c>
      <c r="F20" s="14">
        <v>215854</v>
      </c>
      <c r="G20" s="18" t="s">
        <v>37</v>
      </c>
      <c r="H20" s="14">
        <v>190350</v>
      </c>
      <c r="I20" s="18" t="s">
        <v>37</v>
      </c>
    </row>
    <row r="21" spans="1:9" x14ac:dyDescent="0.35">
      <c r="A21" s="26" t="s">
        <v>58</v>
      </c>
      <c r="B21" s="14">
        <v>213153</v>
      </c>
      <c r="C21" s="18" t="s">
        <v>37</v>
      </c>
      <c r="D21" s="14">
        <v>220710</v>
      </c>
      <c r="E21" s="18" t="s">
        <v>37</v>
      </c>
      <c r="F21" s="14">
        <v>225624</v>
      </c>
      <c r="G21" s="18" t="s">
        <v>37</v>
      </c>
      <c r="H21" s="14">
        <v>218123</v>
      </c>
      <c r="I21" s="18" t="s">
        <v>37</v>
      </c>
    </row>
    <row r="22" spans="1:9" x14ac:dyDescent="0.35">
      <c r="A22" s="26" t="s">
        <v>59</v>
      </c>
      <c r="B22" s="14">
        <v>258060</v>
      </c>
      <c r="C22" s="18" t="s">
        <v>37</v>
      </c>
      <c r="D22" s="14">
        <v>286923</v>
      </c>
      <c r="E22" s="18" t="s">
        <v>37</v>
      </c>
      <c r="F22" s="14">
        <v>309105</v>
      </c>
      <c r="G22" s="18" t="s">
        <v>37</v>
      </c>
      <c r="H22" s="14">
        <v>264081</v>
      </c>
      <c r="I22" s="18" t="s">
        <v>37</v>
      </c>
    </row>
    <row r="23" spans="1:9" x14ac:dyDescent="0.35">
      <c r="A23" s="27"/>
    </row>
    <row r="24" spans="1:9" x14ac:dyDescent="0.35">
      <c r="A24" s="28" t="s">
        <v>38</v>
      </c>
    </row>
    <row r="25" spans="1:9" x14ac:dyDescent="0.35">
      <c r="A25" s="28" t="s">
        <v>39</v>
      </c>
    </row>
    <row r="26" spans="1:9" x14ac:dyDescent="0.35">
      <c r="A26" s="28" t="s">
        <v>40</v>
      </c>
    </row>
  </sheetData>
  <protectedRanges>
    <protectedRange algorithmName="SHA-512" hashValue="fSC3GQfLusKvmnNUg9VKeBcSwNFPRq0CVBgE9BTitgk0bA2BWQUX2GiNUnU4zrx3e3+5Nt+LR9VutbPLx171zA==" saltValue="zzxDWHNUTCHLgxkAe7mimg==" spinCount="100000" sqref="B6:I8" name="tarifas_tdv_banco_1_2"/>
    <protectedRange algorithmName="SHA-512" hashValue="fSC3GQfLusKvmnNUg9VKeBcSwNFPRq0CVBgE9BTitgk0bA2BWQUX2GiNUnU4zrx3e3+5Nt+LR9VutbPLx171zA==" saltValue="zzxDWHNUTCHLgxkAe7mimg==" spinCount="100000" sqref="B9:I10" name="tarifas_tdv_banco_2_2"/>
    <protectedRange algorithmName="SHA-512" hashValue="fSC3GQfLusKvmnNUg9VKeBcSwNFPRq0CVBgE9BTitgk0bA2BWQUX2GiNUnU4zrx3e3+5Nt+LR9VutbPLx171zA==" saltValue="zzxDWHNUTCHLgxkAe7mimg==" spinCount="100000" sqref="B13:I13" name="tarifas_tdv_banco_5"/>
    <protectedRange algorithmName="SHA-512" hashValue="fSC3GQfLusKvmnNUg9VKeBcSwNFPRq0CVBgE9BTitgk0bA2BWQUX2GiNUnU4zrx3e3+5Nt+LR9VutbPLx171zA==" saltValue="zzxDWHNUTCHLgxkAe7mimg==" spinCount="100000" sqref="B14:I14" name="tarifas_tdv_banco_6"/>
    <protectedRange algorithmName="SHA-512" hashValue="fSC3GQfLusKvmnNUg9VKeBcSwNFPRq0CVBgE9BTitgk0bA2BWQUX2GiNUnU4zrx3e3+5Nt+LR9VutbPLx171zA==" saltValue="zzxDWHNUTCHLgxkAe7mimg==" spinCount="100000" sqref="B15:I15" name="tarifas_tdv_banco_7"/>
    <protectedRange algorithmName="SHA-512" hashValue="fSC3GQfLusKvmnNUg9VKeBcSwNFPRq0CVBgE9BTitgk0bA2BWQUX2GiNUnU4zrx3e3+5Nt+LR9VutbPLx171zA==" saltValue="zzxDWHNUTCHLgxkAe7mimg==" spinCount="100000" sqref="B16:I16" name="tarifas_tdv_banco_8"/>
    <protectedRange algorithmName="SHA-512" hashValue="fSC3GQfLusKvmnNUg9VKeBcSwNFPRq0CVBgE9BTitgk0bA2BWQUX2GiNUnU4zrx3e3+5Nt+LR9VutbPLx171zA==" saltValue="zzxDWHNUTCHLgxkAe7mimg==" spinCount="100000" sqref="B19 D19 C19:C22 F19 E19:E22 G19:G22 H19 I19:I22" name="tarifas_tdv_banco_9"/>
    <protectedRange algorithmName="SHA-512" hashValue="fSC3GQfLusKvmnNUg9VKeBcSwNFPRq0CVBgE9BTitgk0bA2BWQUX2GiNUnU4zrx3e3+5Nt+LR9VutbPLx171zA==" saltValue="zzxDWHNUTCHLgxkAe7mimg==" spinCount="100000" sqref="B20 D20 F20 H20" name="tarifas_tdv_banco_10"/>
    <protectedRange algorithmName="SHA-512" hashValue="fSC3GQfLusKvmnNUg9VKeBcSwNFPRq0CVBgE9BTitgk0bA2BWQUX2GiNUnU4zrx3e3+5Nt+LR9VutbPLx171zA==" saltValue="zzxDWHNUTCHLgxkAe7mimg==" spinCount="100000" sqref="B21 D21 F21 H21" name="tarifas_tdv_banco_11"/>
    <protectedRange algorithmName="SHA-512" hashValue="fSC3GQfLusKvmnNUg9VKeBcSwNFPRq0CVBgE9BTitgk0bA2BWQUX2GiNUnU4zrx3e3+5Nt+LR9VutbPLx171zA==" saltValue="zzxDWHNUTCHLgxkAe7mimg==" spinCount="100000" sqref="B22 D22 F22 H22" name="tarifas_tdv_banco_12"/>
  </protectedRanges>
  <mergeCells count="5">
    <mergeCell ref="A1:A2"/>
    <mergeCell ref="B1:C1"/>
    <mergeCell ref="D1:E1"/>
    <mergeCell ref="F1:G1"/>
    <mergeCell ref="H1:I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7B1D-CC91-49FF-A9AA-0D2CDF632B1A}">
  <dimension ref="A1:J33"/>
  <sheetViews>
    <sheetView showGridLines="0" workbookViewId="0">
      <selection sqref="A1:J5"/>
    </sheetView>
  </sheetViews>
  <sheetFormatPr baseColWidth="10" defaultRowHeight="14.5" x14ac:dyDescent="0.35"/>
  <cols>
    <col min="1" max="1" width="14.08984375" customWidth="1"/>
    <col min="2" max="2" width="17.54296875" bestFit="1" customWidth="1"/>
  </cols>
  <sheetData>
    <row r="1" spans="1:10" ht="14.5" customHeight="1" x14ac:dyDescent="0.35">
      <c r="A1" s="32" t="s">
        <v>22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35">
      <c r="A2" s="32"/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0" x14ac:dyDescent="0.35">
      <c r="A4" s="32"/>
      <c r="B4" s="32"/>
      <c r="C4" s="32"/>
      <c r="D4" s="32"/>
      <c r="E4" s="32"/>
      <c r="F4" s="32"/>
      <c r="G4" s="32"/>
      <c r="H4" s="32"/>
      <c r="I4" s="32"/>
      <c r="J4" s="32"/>
    </row>
    <row r="5" spans="1:10" x14ac:dyDescent="0.3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35">
      <c r="A6" s="21" t="s">
        <v>23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5">
      <c r="A7" t="s">
        <v>24</v>
      </c>
    </row>
    <row r="9" spans="1:10" x14ac:dyDescent="0.35">
      <c r="A9" s="1" t="s">
        <v>25</v>
      </c>
      <c r="B9" s="20">
        <v>1000000000</v>
      </c>
    </row>
    <row r="10" spans="1:10" x14ac:dyDescent="0.35">
      <c r="A10" s="1" t="s">
        <v>26</v>
      </c>
      <c r="B10">
        <f>Sucursales!E6</f>
        <v>3.4</v>
      </c>
    </row>
    <row r="11" spans="1:10" x14ac:dyDescent="0.35">
      <c r="A11" s="1" t="s">
        <v>27</v>
      </c>
      <c r="B11">
        <f>Sucursales!D6</f>
        <v>16219</v>
      </c>
    </row>
    <row r="13" spans="1:10" x14ac:dyDescent="0.35">
      <c r="A13" s="16" t="s">
        <v>28</v>
      </c>
      <c r="B13" s="25">
        <f>B9*B10/10000 + B11</f>
        <v>356219</v>
      </c>
    </row>
    <row r="14" spans="1:10" x14ac:dyDescent="0.35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6" spans="1:10" x14ac:dyDescent="0.35">
      <c r="A16" s="21" t="s">
        <v>30</v>
      </c>
      <c r="B16" s="19"/>
      <c r="C16" s="19"/>
      <c r="D16" s="19"/>
      <c r="E16" s="19"/>
      <c r="F16" s="19"/>
      <c r="G16" s="19"/>
      <c r="H16" s="19"/>
      <c r="I16" s="19"/>
      <c r="J16" s="19"/>
    </row>
    <row r="17" spans="1:10" x14ac:dyDescent="0.35">
      <c r="A17" t="s">
        <v>29</v>
      </c>
    </row>
    <row r="19" spans="1:10" x14ac:dyDescent="0.35">
      <c r="A19" s="1" t="s">
        <v>25</v>
      </c>
      <c r="B19" s="20">
        <v>10000000000</v>
      </c>
    </row>
    <row r="20" spans="1:10" x14ac:dyDescent="0.35">
      <c r="A20" s="1" t="s">
        <v>26</v>
      </c>
      <c r="B20" s="7">
        <f>Fondos!C8</f>
        <v>9.57</v>
      </c>
    </row>
    <row r="21" spans="1:10" x14ac:dyDescent="0.35">
      <c r="A21" s="1" t="s">
        <v>27</v>
      </c>
      <c r="B21" s="7">
        <f>Fondos!B8</f>
        <v>808072</v>
      </c>
    </row>
    <row r="23" spans="1:10" x14ac:dyDescent="0.35">
      <c r="A23" s="16" t="s">
        <v>28</v>
      </c>
      <c r="B23" s="24">
        <f>B19*B20/10000 + B21</f>
        <v>10378072</v>
      </c>
    </row>
    <row r="24" spans="1:10" x14ac:dyDescent="0.35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6" spans="1:10" x14ac:dyDescent="0.35">
      <c r="A26" s="21" t="s">
        <v>33</v>
      </c>
      <c r="B26" s="19"/>
      <c r="C26" s="19"/>
      <c r="D26" s="19"/>
      <c r="E26" s="19"/>
      <c r="F26" s="19"/>
      <c r="G26" s="19"/>
      <c r="H26" s="19"/>
      <c r="I26" s="19"/>
      <c r="J26" s="19"/>
    </row>
    <row r="27" spans="1:10" x14ac:dyDescent="0.35">
      <c r="A27" t="s">
        <v>35</v>
      </c>
    </row>
    <row r="29" spans="1:10" x14ac:dyDescent="0.35">
      <c r="A29" s="1" t="s">
        <v>25</v>
      </c>
      <c r="B29" s="20">
        <v>51275500000</v>
      </c>
    </row>
    <row r="30" spans="1:10" x14ac:dyDescent="0.35">
      <c r="A30" s="1" t="s">
        <v>26</v>
      </c>
      <c r="B30" s="7">
        <f>Fondos!G12</f>
        <v>105100</v>
      </c>
      <c r="C30" s="23" t="s">
        <v>36</v>
      </c>
    </row>
    <row r="31" spans="1:10" x14ac:dyDescent="0.35">
      <c r="A31" s="1" t="s">
        <v>27</v>
      </c>
      <c r="B31" s="7">
        <v>0</v>
      </c>
    </row>
    <row r="33" spans="1:2" x14ac:dyDescent="0.35">
      <c r="A33" s="16" t="s">
        <v>28</v>
      </c>
      <c r="B33" s="24">
        <f>B29*B30/(10000000000) + B31</f>
        <v>538905.505</v>
      </c>
    </row>
  </sheetData>
  <mergeCells count="1">
    <mergeCell ref="A1:J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928CD4E23FCB4B8496D39C613E71BF" ma:contentTypeVersion="4" ma:contentTypeDescription="Crear nuevo documento." ma:contentTypeScope="" ma:versionID="240230426bc6b8b3d800721f983ff057">
  <xsd:schema xmlns:xsd="http://www.w3.org/2001/XMLSchema" xmlns:xs="http://www.w3.org/2001/XMLSchema" xmlns:p="http://schemas.microsoft.com/office/2006/metadata/properties" xmlns:ns2="77d6a880-0c08-45f6-86a4-976cccf76c1b" targetNamespace="http://schemas.microsoft.com/office/2006/metadata/properties" ma:root="true" ma:fieldsID="c198f59cb5b46444ce0ebc50ea8fa72e" ns2:_="">
    <xsd:import namespace="77d6a880-0c08-45f6-86a4-976cccf76c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d6a880-0c08-45f6-86a4-976cccf76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452F4E-ABA4-4484-8204-544D848593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d6a880-0c08-45f6-86a4-976cccf76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7F9E35-A540-40BC-AC9C-9A24B8002291}">
  <ds:schemaRefs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77d6a880-0c08-45f6-86a4-976cccf76c1b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053CE75-FEF1-4FCF-933C-634EDE54D8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Fondos</vt:lpstr>
      <vt:lpstr>Sucursales</vt:lpstr>
      <vt:lpstr>ATM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Esteban Arredondo Parra</dc:creator>
  <cp:lastModifiedBy>Jhon Esteban Arredondo Parra</cp:lastModifiedBy>
  <dcterms:created xsi:type="dcterms:W3CDTF">2015-06-05T18:19:34Z</dcterms:created>
  <dcterms:modified xsi:type="dcterms:W3CDTF">2026-10-01T05:12:43Z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2026-09-25T05:56:08Z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d550a4b6-353b-4245-a568-b1dc969396ca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  <property fmtid="{D5CDD505-2E9C-101B-9397-08002B2CF9AE}" pid="10" name="ContentTypeId">
    <vt:lpwstr>0x0101007C928CD4E23FCB4B8496D39C613E71BF</vt:lpwstr>
  </property>
</Properties>
</file>