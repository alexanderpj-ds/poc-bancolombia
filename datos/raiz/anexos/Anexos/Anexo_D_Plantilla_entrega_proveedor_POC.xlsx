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ancolombia.sharepoint.com/teams/RFIAdministracindelEfectivo-SR4563473721/Documentos compartidos/RFP Hta admon del Efectivo - SR5027777238/3. RFP - HERRAMIENTA INTERNA/poc_proveedor/Anexos/"/>
    </mc:Choice>
  </mc:AlternateContent>
  <xr:revisionPtr revIDLastSave="7" documentId="13_ncr:1_{EBF284A7-094A-4203-BB11-FF6076A1B215}" xr6:coauthVersionLast="47" xr6:coauthVersionMax="47" xr10:uidLastSave="{FD01E815-4C07-4850-9E87-2533109FA5A9}"/>
  <bookViews>
    <workbookView xWindow="-28920" yWindow="-3675" windowWidth="29040" windowHeight="15720" tabRatio="500" firstSheet="1" activeTab="4" xr2:uid="{00000000-000D-0000-FFFF-FFFF00000000}"/>
  </bookViews>
  <sheets>
    <sheet name="01_Predicciones" sheetId="2" r:id="rId1"/>
    <sheet name="02_Plan_Operativo" sheetId="3" r:id="rId2"/>
    <sheet name="03_Metricas_Desarrollo" sheetId="4" r:id="rId3"/>
    <sheet name="04_Descripcion_Solucion" sheetId="5" r:id="rId4"/>
    <sheet name="05_M6_Fondos" sheetId="6" r:id="rId5"/>
    <sheet name="06_Diccionario_Campos" sheetId="8" r:id="rId6"/>
  </sheets>
  <definedNames>
    <definedName name="_xlnm._FilterDatabase" localSheetId="0" hidden="1">'01_Predicciones'!$A$2:$I$13</definedName>
    <definedName name="_xlnm._FilterDatabase" localSheetId="1" hidden="1">'02_Plan_Operativo'!$A$2:$P$16</definedName>
    <definedName name="_xlnm._FilterDatabase" localSheetId="2" hidden="1">'03_Metricas_Desarrollo'!$A$2:$L$20</definedName>
    <definedName name="_xlnm._FilterDatabase" localSheetId="3" hidden="1">'04_Descripcion_Solucion'!$A$2:$M$10</definedName>
    <definedName name="_xlnm._FilterDatabase" localSheetId="4" hidden="1">'05_M6_Fondos'!$A$2:$AE$13</definedName>
    <definedName name="_xlnm._FilterDatabase" localSheetId="5" hidden="1">'06_Diccionario_Campos'!$A$2:$F$21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H9" i="3"/>
  <c r="O9" i="3" s="1"/>
  <c r="H7" i="3"/>
  <c r="O7" i="3" s="1"/>
  <c r="L13" i="6"/>
  <c r="M13" i="6" s="1"/>
  <c r="L12" i="6"/>
  <c r="M12" i="6" s="1"/>
  <c r="L11" i="6"/>
  <c r="M11" i="6" s="1"/>
  <c r="L10" i="6"/>
  <c r="M10" i="6" s="1"/>
  <c r="L9" i="6"/>
  <c r="M9" i="6" s="1"/>
  <c r="L8" i="6"/>
  <c r="M8" i="6" s="1"/>
  <c r="L7" i="6"/>
  <c r="M7" i="6" s="1"/>
  <c r="L6" i="6"/>
  <c r="M6" i="6" s="1"/>
  <c r="L5" i="6"/>
  <c r="M5" i="6" s="1"/>
  <c r="L4" i="6"/>
  <c r="M4" i="6" s="1"/>
  <c r="L3" i="6"/>
  <c r="M3" i="6" s="1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N9" i="3"/>
  <c r="O8" i="3"/>
  <c r="N8" i="3"/>
  <c r="N7" i="3"/>
  <c r="O6" i="3"/>
  <c r="N6" i="3"/>
  <c r="O5" i="3"/>
  <c r="N5" i="3"/>
  <c r="O4" i="3"/>
  <c r="N4" i="3"/>
  <c r="O3" i="3"/>
  <c r="N3" i="3"/>
  <c r="X3" i="6" l="1"/>
  <c r="Q3" i="6"/>
  <c r="P3" i="6"/>
  <c r="X4" i="6"/>
  <c r="Q4" i="6"/>
  <c r="P4" i="6"/>
  <c r="X5" i="6"/>
  <c r="Q5" i="6"/>
  <c r="P5" i="6"/>
  <c r="X6" i="6"/>
  <c r="Q6" i="6"/>
  <c r="P6" i="6"/>
  <c r="X7" i="6"/>
  <c r="Q7" i="6"/>
  <c r="P7" i="6"/>
  <c r="X8" i="6"/>
  <c r="Q8" i="6"/>
  <c r="P8" i="6"/>
  <c r="X9" i="6"/>
  <c r="Q9" i="6"/>
  <c r="P9" i="6"/>
  <c r="X10" i="6"/>
  <c r="Q10" i="6"/>
  <c r="P10" i="6"/>
  <c r="X11" i="6"/>
  <c r="Q11" i="6"/>
  <c r="P11" i="6"/>
  <c r="X12" i="6"/>
  <c r="Q12" i="6"/>
  <c r="P12" i="6"/>
  <c r="X13" i="6"/>
  <c r="Q13" i="6"/>
  <c r="P13" i="6"/>
</calcChain>
</file>

<file path=xl/sharedStrings.xml><?xml version="1.0" encoding="utf-8"?>
<sst xmlns="http://schemas.openxmlformats.org/spreadsheetml/2006/main" count="961" uniqueCount="350">
  <si>
    <t>M1</t>
  </si>
  <si>
    <t>M2</t>
  </si>
  <si>
    <t>M3</t>
  </si>
  <si>
    <t>M6</t>
  </si>
  <si>
    <t>id_proveedor</t>
  </si>
  <si>
    <t>modelo</t>
  </si>
  <si>
    <t>ciudad</t>
  </si>
  <si>
    <t>id_entidad</t>
  </si>
  <si>
    <t>variable_objetivo</t>
  </si>
  <si>
    <t>fecha_corte</t>
  </si>
  <si>
    <t>fecha_objetivo</t>
  </si>
  <si>
    <t>horizonte_dias</t>
  </si>
  <si>
    <t>valor_pronosticado_cop</t>
  </si>
  <si>
    <t>nivel_agregacion</t>
  </si>
  <si>
    <t>PROVEEDOR_DEMO</t>
  </si>
  <si>
    <t>Cali</t>
  </si>
  <si>
    <t>ATM_0001</t>
  </si>
  <si>
    <t>pagado</t>
  </si>
  <si>
    <t>entidad-dia</t>
  </si>
  <si>
    <t>Pasto</t>
  </si>
  <si>
    <t>MF_0001</t>
  </si>
  <si>
    <t>cash_in</t>
  </si>
  <si>
    <t>SUC_0001</t>
  </si>
  <si>
    <t>entradas</t>
  </si>
  <si>
    <t>salidas</t>
  </si>
  <si>
    <t>M4</t>
  </si>
  <si>
    <t>CALI|TRANSPORTADORA_001</t>
  </si>
  <si>
    <t>ingreso_efectivo_cbr</t>
  </si>
  <si>
    <t>fondo-dia</t>
  </si>
  <si>
    <t>PASTO|TRANSPORTADORA_001</t>
  </si>
  <si>
    <t>M5</t>
  </si>
  <si>
    <t>CALI|TRANSPORTADORA_002</t>
  </si>
  <si>
    <t>ingreso_efectivo_clientes</t>
  </si>
  <si>
    <t>Ipiales</t>
  </si>
  <si>
    <t>IPIALES|TRANSPORTADORA_002</t>
  </si>
  <si>
    <t>tipo_administracion</t>
  </si>
  <si>
    <t>fecha_accion_sugerida</t>
  </si>
  <si>
    <t>accion_sugerida</t>
  </si>
  <si>
    <t>monto_sugerido_cop</t>
  </si>
  <si>
    <t>nivel_riesgo</t>
  </si>
  <si>
    <t>regla_aplicada</t>
  </si>
  <si>
    <t>explicacion_funcional</t>
  </si>
  <si>
    <t>cupo_entidad_cop</t>
  </si>
  <si>
    <t>saldo_antes_accion_cop</t>
  </si>
  <si>
    <t>porcentaje_ocupacion_antes</t>
  </si>
  <si>
    <t>saldo_despues_accion_cop</t>
  </si>
  <si>
    <t>cumple_regla_saldo_objetivo</t>
  </si>
  <si>
    <t>costo_estimado_cop</t>
  </si>
  <si>
    <t>TDV</t>
  </si>
  <si>
    <t>provision</t>
  </si>
  <si>
    <t>alto</t>
  </si>
  <si>
    <t>RN-11: completar hasta cupo operativo</t>
  </si>
  <si>
    <t>ATM administrado por TRANSPORTADORA_001, categoría MEDIO, sábado (tarifa L-S). Se provisiona antes del pagado para evitar bajar del 8 % el día siguiente.</t>
  </si>
  <si>
    <t>Sí</t>
  </si>
  <si>
    <t>Sucursal</t>
  </si>
  <si>
    <t>medio</t>
  </si>
  <si>
    <t>ATM administrado por sucursal. En M1 también se completa hasta el cupo operativo. Sin tarifa TDV: costo 0 declarado.</t>
  </si>
  <si>
    <t>sin_accion</t>
  </si>
  <si>
    <t>bajo</t>
  </si>
  <si>
    <t>RN-02: una fila sin_accion</t>
  </si>
  <si>
    <t>La trayectoria se mantiene sobre el 8 % del cupo durante todo el periodo.</t>
  </si>
  <si>
    <t>No aplica</t>
  </si>
  <si>
    <t>RN-21 y RN-19A: saldo &lt;= 8 %; equipo TDV completa cupo</t>
  </si>
  <si>
    <t>Saldo previo equivalente al 6,7 % del cupo. Provisión antes del pagado. Tarifa MF URBANO L-S TRANSPORTADORA_001.</t>
  </si>
  <si>
    <t>recoleccion</t>
  </si>
  <si>
    <t>RN-21 y RN-22: saldo al cierre &gt; cupo</t>
  </si>
  <si>
    <t>Saldo al cierre supera el cupo. Se recolecta el excedente y se retorna al cupo. Domingo: tarifa MF URBANO D-F TRANSPORTADORA_001.</t>
  </si>
  <si>
    <t>RN-21: priorización ante doble riesgo</t>
  </si>
  <si>
    <t>Riesgo de agotamiento el 10/09 y de sobrecupo posterior. Se prioriza la provisión por mayor impacto. Municipio distinto a la ciudad del fondo: tarifa MF INTERURBANO L-S TRANSPORTADORA_002.</t>
  </si>
  <si>
    <t>El saldo se mantiene sobre el 8 % y bajo el cupo durante todo el periodo.</t>
  </si>
  <si>
    <t>RN-40 y RN-41: evitar saldo insuficiente</t>
  </si>
  <si>
    <t>Provisión parcial para cubrir salidas proyectadas y reserva; no se completa hasta el cupo. Sucursal URBANO MEDIO atendida por TRANSPORTADORA_002.</t>
  </si>
  <si>
    <t>RN-41: política diferenciada llega a cupo</t>
  </si>
  <si>
    <t>La concentración de salidas proyectadas justifica completar hasta el cupo; es una decisión de la política, no una obligación. URBANO ALTO, TRANSPORTADORA_001.</t>
  </si>
  <si>
    <t>RN-40: reducir efectivo ocioso</t>
  </si>
  <si>
    <t>Recolección parcial que conserva cobertura para las salidas previstas. Sucursal interurbana escala 1, TRANSPORTADORA_001.</t>
  </si>
  <si>
    <t>RN-38 y RN-40: trayectoria excede cupo</t>
  </si>
  <si>
    <t>El saldo proyectado supera cupo_max_suc; se recolecta el sobrecupo al cierre. URBANO MEDIO, TRANSPORTADORA_001.</t>
  </si>
  <si>
    <t>Sin faltante, sobrecupo ni efectivo ocioso injustificado durante el periodo.</t>
  </si>
  <si>
    <t>variable_o_kpi_evaluado</t>
  </si>
  <si>
    <t>tipo_metrica</t>
  </si>
  <si>
    <t>metrica</t>
  </si>
  <si>
    <t>valor_metrica</t>
  </si>
  <si>
    <t>unidad</t>
  </si>
  <si>
    <t>segmento</t>
  </si>
  <si>
    <t>periodo_desde</t>
  </si>
  <si>
    <t>periodo_hasta</t>
  </si>
  <si>
    <t>metodologia_validacion</t>
  </si>
  <si>
    <t>comentarios</t>
  </si>
  <si>
    <t>predictiva</t>
  </si>
  <si>
    <t>WAPE</t>
  </si>
  <si>
    <t>porcentaje</t>
  </si>
  <si>
    <t>Global</t>
  </si>
  <si>
    <t>Backtesting temporal, ventanas de 15 días</t>
  </si>
  <si>
    <t>Excluye días del Anexo C.</t>
  </si>
  <si>
    <t>MAE</t>
  </si>
  <si>
    <t>COP</t>
  </si>
  <si>
    <t>Bias</t>
  </si>
  <si>
    <t>Repetir por cada ciudad.</t>
  </si>
  <si>
    <t>Nivel fondo-día.</t>
  </si>
  <si>
    <t>tasa_agotamiento</t>
  </si>
  <si>
    <t>operativa</t>
  </si>
  <si>
    <t>Tasa de agotamiento ATM-día</t>
  </si>
  <si>
    <t>Simulación histórica</t>
  </si>
  <si>
    <t>Objetivo cercano a 0 %.</t>
  </si>
  <si>
    <t>remanente_antes_provision</t>
  </si>
  <si>
    <t>Promedio % saldo antes de provisión</t>
  </si>
  <si>
    <t>porcentaje del cupo</t>
  </si>
  <si>
    <t>Solo eventos de provisión; referente &lt;= 22 %.</t>
  </si>
  <si>
    <t>costo_total</t>
  </si>
  <si>
    <t>costo</t>
  </si>
  <si>
    <t>Costo total estimado de provisiones</t>
  </si>
  <si>
    <t>Simulación con Anexo E</t>
  </si>
  <si>
    <t>Repetir para M2, M3 y M6.</t>
  </si>
  <si>
    <t>consistencia_balance</t>
  </si>
  <si>
    <t>Reconstrucción histórica</t>
  </si>
  <si>
    <t>M6 no reporta métricas predictivas.</t>
  </si>
  <si>
    <t>Costo total estimado de acciones y almacenamiento</t>
  </si>
  <si>
    <t>Incluye almacenamiento diario.</t>
  </si>
  <si>
    <t>variable_objetivo_evaluada</t>
  </si>
  <si>
    <t>definicion_variable_objetivo</t>
  </si>
  <si>
    <t>algoritmo_o_enfoque</t>
  </si>
  <si>
    <t>variables_utilizadas</t>
  </si>
  <si>
    <t>variables_mas_relevantes</t>
  </si>
  <si>
    <t>horizonte_prediccion</t>
  </si>
  <si>
    <t>transformacion_a_decision_operativa</t>
  </si>
  <si>
    <t>limitaciones_identificadas</t>
  </si>
  <si>
    <t>dependencias_externas</t>
  </si>
  <si>
    <t>supuestos</t>
  </si>
  <si>
    <t>Efectivo entregado por el ATM dispensador en el día (cdgtrn 220, 420, 520).</t>
  </si>
  <si>
    <t>Gradient boosting por ATM</t>
  </si>
  <si>
    <t>Pagado t-7, día de semana, quincena</t>
  </si>
  <si>
    <t>1 a 15 días desde el corte</t>
  </si>
  <si>
    <t>Trayectoria desde el cupo operativo; provisión antes del pagado hasta cupo.</t>
  </si>
  <si>
    <t>Calendario oficial de Colombia</t>
  </si>
  <si>
    <t>Saldo inicial simulado = cupo operativo.</t>
  </si>
  <si>
    <t>Efectivo entregado por el multifuncional en el día.</t>
  </si>
  <si>
    <t>Modelo multiserie</t>
  </si>
  <si>
    <t>Observadas: pagado, cupo, segmentación. Derivadas: rezagos.</t>
  </si>
  <si>
    <t>Pagado t-7, día de semana</t>
  </si>
  <si>
    <t>1 a 15 días</t>
  </si>
  <si>
    <t>Balance neto con cash_in; alerta de provisión al 8 %.</t>
  </si>
  <si>
    <t>Calendario oficial</t>
  </si>
  <si>
    <t>Efectivo recibido reutilizable.</t>
  </si>
  <si>
    <t>Efectivo recibido por el multifuncional (cdgtrn 401, 501, 629).</t>
  </si>
  <si>
    <t>Observadas: cash_in, cupo, segmentación.</t>
  </si>
  <si>
    <t>Cash in t-7, quincena</t>
  </si>
  <si>
    <t>Alerta de recolección cuando el saldo al cierre supera el cupo.</t>
  </si>
  <si>
    <t>Recolección al cierre del día.</t>
  </si>
  <si>
    <t>Entradas de efectivo de la operación propia de la sucursal.</t>
  </si>
  <si>
    <t>Modelo por flujo</t>
  </si>
  <si>
    <t>Observadas: entradas, cupo_max_suc, maestro.</t>
  </si>
  <si>
    <t>Entradas t-7, día de semana</t>
  </si>
  <si>
    <t>Trayectoria desde cupo_max_suc; recolección al cierre.</t>
  </si>
  <si>
    <t>Sin saldo observado de bóveda.</t>
  </si>
  <si>
    <t>Orden intradía de RN-39.</t>
  </si>
  <si>
    <t>Salidas de efectivo de la operación propia de la sucursal.</t>
  </si>
  <si>
    <t>Observadas: salidas, cupo_max_suc, maestro.</t>
  </si>
  <si>
    <t>Salidas t-7, fin de mes</t>
  </si>
  <si>
    <t>Provisión antes de las salidas cuando hay riesgo de insuficiencia.</t>
  </si>
  <si>
    <t>Ingreso de efectivo de CBR al fondo en la fecha efectiva (VALOR).</t>
  </si>
  <si>
    <t>Modelo jerárquico punto-fondo</t>
  </si>
  <si>
    <t>Observadas: VALOR, FECHAEFC, fondo, transportadora.</t>
  </si>
  <si>
    <t>Ingreso t-7, día de semana</t>
  </si>
  <si>
    <t>Se consolida por fondo-día como insumo de M6.</t>
  </si>
  <si>
    <t>Sin cash out, saldo ni cupo del corresponsal.</t>
  </si>
  <si>
    <t>Consolidación por CIUDAD|TRANSPORTADORA.</t>
  </si>
  <si>
    <t>Ingreso de efectivo de clientes al fondo en la fecha efectiva (VALOR).</t>
  </si>
  <si>
    <t>Modelo jerárquico cliente-fondo</t>
  </si>
  <si>
    <t>Ingreso t-7, fin de mes</t>
  </si>
  <si>
    <t>No equivale al valor recolectado al cliente.</t>
  </si>
  <si>
    <t>balance_fondos</t>
  </si>
  <si>
    <t>Disponibilidad proyectada por fondo, fecha y denominación frente a la presión de canales.</t>
  </si>
  <si>
    <t>Balance y reglas de optimización con costos</t>
  </si>
  <si>
    <t>Observadas: disponibles, traslados, ventas, intercambios, BanRep. Derivadas: presión M1-M5. Anexo E.</t>
  </si>
  <si>
    <t>Último disponible, presión neta, costos</t>
  </si>
  <si>
    <t>Diario 01/09 a 15/09</t>
  </si>
  <si>
    <t>Reconstrucción del balance histórico</t>
  </si>
  <si>
    <t>Faltante o excedente frente a niveles objetivo propuestos; acción de menor costo.</t>
  </si>
  <si>
    <t>Presión por denominación estimada con participación histórica.</t>
  </si>
  <si>
    <t>Anexo E</t>
  </si>
  <si>
    <t>Días no hábiles sin operaciones BanRep, ventas ni intercambios.</t>
  </si>
  <si>
    <t>fondo_id</t>
  </si>
  <si>
    <t>transportadora</t>
  </si>
  <si>
    <t>dia_habil</t>
  </si>
  <si>
    <t>denominacion_cop</t>
  </si>
  <si>
    <t>disponibilidad_inicial_cop</t>
  </si>
  <si>
    <t>ingresos_proyectados_cop</t>
  </si>
  <si>
    <t>salidas_proyectadas_cop</t>
  </si>
  <si>
    <t>presion_neta_canales_cop</t>
  </si>
  <si>
    <t>nivel_objetivo_min_cop</t>
  </si>
  <si>
    <t>nivel_objetivo_max_cop</t>
  </si>
  <si>
    <t>faltante_potencial_cop</t>
  </si>
  <si>
    <t>excedente_potencial_cop</t>
  </si>
  <si>
    <t>efecto_en_fondo</t>
  </si>
  <si>
    <t>fondo_origen</t>
  </si>
  <si>
    <t>fondo_destino</t>
  </si>
  <si>
    <t>criterio_aplicado</t>
  </si>
  <si>
    <t>supuesto_utilizado</t>
  </si>
  <si>
    <t>origen_disponibilidad</t>
  </si>
  <si>
    <t>origen_presion</t>
  </si>
  <si>
    <t>metodo_distribucion_denominacion</t>
  </si>
  <si>
    <t>TRANSPORTADORA_001</t>
  </si>
  <si>
    <t>venta_efectivo</t>
  </si>
  <si>
    <t>salida</t>
  </si>
  <si>
    <t>RN-75 y RN-78: excedente sobre nivel máximo</t>
  </si>
  <si>
    <t>Comisión de venta según TASA histórica, no incluida en el costo.</t>
  </si>
  <si>
    <t>Excedente en denominación alta; la venta retorna al nivel máximo y genera comisión.</t>
  </si>
  <si>
    <t>Último disponible al 31/08/2026</t>
  </si>
  <si>
    <t>estimada</t>
  </si>
  <si>
    <t>Participación histórica por denominación</t>
  </si>
  <si>
    <t>traslado_fondos</t>
  </si>
  <si>
    <t>entrada</t>
  </si>
  <si>
    <t>CALI|TRANSPORTADORA_003</t>
  </si>
  <si>
    <t>Costo registrado en el fondo origen.</t>
  </si>
  <si>
    <t>Faltante bajo el nivel mínimo; traslado sin costo desde otra transportadora de Cali.</t>
  </si>
  <si>
    <t>TRANSPORTADORA_003</t>
  </si>
  <si>
    <t>Traslado en la misma ciudad y distinta TDV sin costo (Anexo E).</t>
  </si>
  <si>
    <t>Fondo origen con excedente; cede efectivo al fondo con faltante.</t>
  </si>
  <si>
    <t>consignacion_banrep</t>
  </si>
  <si>
    <t>BANREP</t>
  </si>
  <si>
    <t>Tarifa consignación BanRep TRANSPORTADORA_001.</t>
  </si>
  <si>
    <t>Se consigna el excedente en Banco de la República por ser la alternativa de menor costo frente al almacenamiento.</t>
  </si>
  <si>
    <t>cambio_denominacion</t>
  </si>
  <si>
    <t>Cambio no tarifado en el Anexo E: se asume tarifa de retiro BanRep.</t>
  </si>
  <si>
    <t>Faltante en 10.000 con excedente en otras denominaciones; se solicita cambio en Banco de la República.</t>
  </si>
  <si>
    <t>intercambio_bancos</t>
  </si>
  <si>
    <t>ENTIDAD_EXTERNA</t>
  </si>
  <si>
    <t>Costo de intercambio 0 según Anexo E.</t>
  </si>
  <si>
    <t>Excedente en denominación baja; se ofrece en intercambio con otra entidad.</t>
  </si>
  <si>
    <t>ninguno</t>
  </si>
  <si>
    <t>Saldo dentro del rango objetivo; no requiere acción.</t>
  </si>
  <si>
    <t>retiro_banrep</t>
  </si>
  <si>
    <t>Tarifa retiro BanRep TRANSPORTADORA_001.</t>
  </si>
  <si>
    <t>Faltante en Pasto; no hay otro fondo en la ciudad y el retiro es más económico que el traslado desde Cali.</t>
  </si>
  <si>
    <t>TRANSPORTADORA_002</t>
  </si>
  <si>
    <t>Tarifa traslado Cali-Ipiales TRANSPORTADORA_002; costo en origen.</t>
  </si>
  <si>
    <t>Fondo de Cali con excedente cubre faltante de Ipiales.</t>
  </si>
  <si>
    <t>Faltante en Ipiales cubierto con el traslado desde Cali.</t>
  </si>
  <si>
    <t>No</t>
  </si>
  <si>
    <t>Disponibilidad inicial = saldo final del día anterior.</t>
  </si>
  <si>
    <t>Excedente leve; en domingo no se recomiendan ventas ni operaciones BanRep. Se atenderá el siguiente día hábil.</t>
  </si>
  <si>
    <t>Saldo final del día anterior</t>
  </si>
  <si>
    <t>Aplica a</t>
  </si>
  <si>
    <t>Hoja</t>
  </si>
  <si>
    <t>Campo</t>
  </si>
  <si>
    <t>Definición</t>
  </si>
  <si>
    <t>Tipo/formato</t>
  </si>
  <si>
    <t>Regla de diligenciamiento</t>
  </si>
  <si>
    <t>01</t>
  </si>
  <si>
    <t>Identificador de la unidad pronosticada.</t>
  </si>
  <si>
    <t>texto</t>
  </si>
  <si>
    <t>M1-M5</t>
  </si>
  <si>
    <t>M1-M3: identificador anonimizado. M4-M5: CIUDAD|TRANSPORTADORA.</t>
  </si>
  <si>
    <t>Días entre fecha_corte y fecha_objetivo.</t>
  </si>
  <si>
    <t>entero 1-15</t>
  </si>
  <si>
    <t>Fórmula.</t>
  </si>
  <si>
    <t>Pronóstico de la variable objetivo.</t>
  </si>
  <si>
    <t>entero COP &gt;= 0</t>
  </si>
  <si>
    <t>Nivel del pronóstico.</t>
  </si>
  <si>
    <t>entidad-dia / fondo-dia</t>
  </si>
  <si>
    <t>02</t>
  </si>
  <si>
    <t>TDV o Sucursal según admon del maestro CP.</t>
  </si>
  <si>
    <t>M1-M2</t>
  </si>
  <si>
    <t>Cupo aplicable de la simulación.</t>
  </si>
  <si>
    <t>entero COP &gt; 0</t>
  </si>
  <si>
    <t>M1-M3</t>
  </si>
  <si>
    <t>Saldo simulado inmediatamente antes de la acción.</t>
  </si>
  <si>
    <t>saldo_antes / cupo.</t>
  </si>
  <si>
    <t>Fórmula. Puede superar 100 % en recolección.</t>
  </si>
  <si>
    <t>Saldo antes + provisión o − recolección.</t>
  </si>
  <si>
    <t>Si el saldo posterior cumple la regla del modelo y la acción.</t>
  </si>
  <si>
    <t>Sí/No/No aplica</t>
  </si>
  <si>
    <t>02 y 05</t>
  </si>
  <si>
    <t>Costo estimado de la acción según Anexo E.</t>
  </si>
  <si>
    <t>M1-M3, M6</t>
  </si>
  <si>
    <t>03</t>
  </si>
  <si>
    <t>Clase de métrica.</t>
  </si>
  <si>
    <t>predictiva/operativa/costo</t>
  </si>
  <si>
    <t>Todos</t>
  </si>
  <si>
    <t>05</t>
  </si>
  <si>
    <t>Identificador del fondo.</t>
  </si>
  <si>
    <t>CIUDAD|TRANSPORTADORA</t>
  </si>
  <si>
    <t>Si la fecha es día hábil.</t>
  </si>
  <si>
    <t>Sí/No</t>
  </si>
  <si>
    <t>ingresos − salidas proyectadas de canales.</t>
  </si>
  <si>
    <t>entero COP con signo</t>
  </si>
  <si>
    <t>Fórmula. Positivo = entra al fondo.</t>
  </si>
  <si>
    <t>nivel_objetivo_min_cop / max_cop</t>
  </si>
  <si>
    <t>Rango objetivo propuesto por el proveedor.</t>
  </si>
  <si>
    <t>entero COP</t>
  </si>
  <si>
    <t>Documentar criterio en 04.</t>
  </si>
  <si>
    <t>faltante / excedente_potencial_cop</t>
  </si>
  <si>
    <t>Distancia del saldo antes de la acción al rango objetivo.</t>
  </si>
  <si>
    <t>Sentido del movimiento para el fondo de la fila.</t>
  </si>
  <si>
    <t>entrada/salida/ninguno</t>
  </si>
  <si>
    <t>Determina el saldo después.</t>
  </si>
  <si>
    <t>Si la presión por denominación es observada, derivada o estimada.</t>
  </si>
  <si>
    <t>Si es estimada, documentar el método.</t>
  </si>
  <si>
    <t>RN-21, RN-19A y RN-27: saldo &lt;= 8 %; equipo de sucursal completa cupo</t>
  </si>
  <si>
    <t>Multifuncional administrado por sucursal (RN-08A). Saldo previo del 5,0 % del cupo. Provisión antes del pagado hasta completar el cupo; aplica la misma regla que a los equipos TDV. Sin tarifa TDV: costo 0 declarado.</t>
  </si>
  <si>
    <t>RN-21, RN-22 y RN-27: saldo al cierre &gt; cupo; equipo de sucursal retorna al cupo</t>
  </si>
  <si>
    <t>Multifuncional administrado por sucursal (RN-08A). Saldo al cierre supera el cupo; se recolecta el excedente para retornar al cupo, igual que en equipos TDV. Sin tarifa TDV: costo 0 declarado.</t>
  </si>
  <si>
    <t>Semana 1 (días 1-7 de la ventana)</t>
  </si>
  <si>
    <t>Bloque equivalente al 01-07/09/2026. Repetir por variable.</t>
  </si>
  <si>
    <t>Semana 2 (días 8-15 de la ventana)</t>
  </si>
  <si>
    <t>Bloque equivalente al 08-15/09/2026. Repetir por variable.</t>
  </si>
  <si>
    <t>Por ciudad agregando fondos. Repetir para M5.</t>
  </si>
  <si>
    <t>Días sin registros del Anexo C tratados como faltantes (no cero), imputados con promedio móvil de la misma semana solo para construir rezagos y excluidos de las métricas internas; bloque de abril tratado con perfil de semanas equivalentes.</t>
  </si>
  <si>
    <t>Observadas: pagado, cupo, admon, estado (maestro CP y desinstalados). Derivadas: rezagos. Calendario construido (RN-04): festivos Colombia, quincenas y fin de mes.</t>
  </si>
  <si>
    <t>RN-76 y RN-78: excedente sobre nivel máximo; venta preferible a conservar</t>
  </si>
  <si>
    <t>RN-72 y RN-74: faltante cubierto desde fondo de la misma ciudad</t>
  </si>
  <si>
    <t>RN-74: traslado entre transportadoras de la misma ciudad (sin costo)</t>
  </si>
  <si>
    <t>RN-72(c) y RN-75: desbalance por denominación</t>
  </si>
  <si>
    <t>RN-78 y RN-84: excedente en denominación baja</t>
  </si>
  <si>
    <t>RN-85: dentro de niveles objetivo (sin_accion)</t>
  </si>
  <si>
    <t>RN-72 y RN-75: faltante sin fondo con excedente en la ciudad</t>
  </si>
  <si>
    <t>RN-74 y RN-80: traslado entre ciudades por ruta disponible</t>
  </si>
  <si>
    <t>RN-74: faltante cubierto por traslado (costo en origen)</t>
  </si>
  <si>
    <t>RN-71A: día no hábil</t>
  </si>
  <si>
    <t>Saldo del fondo antes de la acción M6.</t>
  </si>
  <si>
    <t>Hoja 01 – Predicciones</t>
  </si>
  <si>
    <t>Hoja 02 – Plan operativo</t>
  </si>
  <si>
    <t>Hoja 03 – Métricas de desarrollo</t>
  </si>
  <si>
    <t>Hoja 04 – Descripción de la solución</t>
  </si>
  <si>
    <t>Hoja 05 – Modelo M6: balance de fondos</t>
  </si>
  <si>
    <t>Hoja 06 – Diccionario de campos críticos</t>
  </si>
  <si>
    <t>Ver RN-07.</t>
  </si>
  <si>
    <t>M4 y M5: fondo-dia (RN-48).</t>
  </si>
  <si>
    <t>Ver RN-08A. M3 = No aplica.</t>
  </si>
  <si>
    <t>M1: RN-09. M2: RN-18 y RN-24. M3: RN-38 y RN-39.</t>
  </si>
  <si>
    <t>sin_accion = No aplica (RN-02).</t>
  </si>
  <si>
    <t>M1: RN-11. M2: RN-19A, RN-22 y RN-27. M3: RN-38.</t>
  </si>
  <si>
    <t>Ver RN-04A y Anexo E.</t>
  </si>
  <si>
    <t>M6 sin métricas predictivas (RN-68).</t>
  </si>
  <si>
    <t>Ver RN-71A.</t>
  </si>
  <si>
    <t>Fórmula. Varias acciones en la misma combinación: ver RN-85.</t>
  </si>
  <si>
    <t>ATM_0002</t>
  </si>
  <si>
    <t>ATM_0003</t>
  </si>
  <si>
    <t>MF_0002</t>
  </si>
  <si>
    <t>MF_0003</t>
  </si>
  <si>
    <t>MF_0004</t>
  </si>
  <si>
    <t>MF_0005</t>
  </si>
  <si>
    <t>MF_0006</t>
  </si>
  <si>
    <t>SUC_0002</t>
  </si>
  <si>
    <t>SUC_0003</t>
  </si>
  <si>
    <t>SUC_0004</t>
  </si>
  <si>
    <t>SUC_0005</t>
  </si>
  <si>
    <t>ATM_0099</t>
  </si>
  <si>
    <t>Efectividad de las recomendaciones de fondos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</si>
</sst>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/mm/yyyy"/>
  </numFmts>
  <fonts count="5" x14ac:knownFonts="1">
    <font>
      <sz val="11"/>
      <color theme="1"/>
      <name val="Calibri"/>
      <family val="2"/>
      <charset val="1"/>
    </font>
    <font>
      <b/>
      <sz val="14"/>
      <color rgb="FF2C2A29"/>
      <name val="Arial"/>
    </font>
    <font>
      <sz val="10"/>
      <color rgb="FF2C2A29"/>
      <name val="Arial"/>
    </font>
    <font>
      <b/>
      <sz val="10"/>
      <color rgb="FFFFFFFF"/>
      <name val="Arial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DDA2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C2A29"/>
        <bgColor indexed="64"/>
      </patternFill>
    </fill>
    <fill>
      <patternFill patternType="solid">
        <fgColor rgb="FFF5F4F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ABA59D"/>
      </top>
      <bottom/>
      <diagonal/>
    </border>
    <border>
      <left/>
      <right/>
      <top style="thick">
        <color rgb="FFFDDA24"/>
      </top>
      <bottom style="thin">
        <color rgb="FFD9D6D2"/>
      </bottom>
      <diagonal/>
    </border>
    <border>
      <left/>
      <right/>
      <top style="thin">
        <color rgb="FFD9D6D2"/>
      </top>
      <bottom style="thin">
        <color rgb="FFD9D6D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 wrapText="1"/>
    </xf>
    <xf numFmtId="0" fontId="2" fillId="5" borderId="3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1" fontId="2" fillId="3" borderId="2" xfId="0" applyNumberFormat="1" applyFont="1" applyFill="1" applyBorder="1" applyAlignment="1">
      <alignment vertical="top" wrapText="1"/>
    </xf>
    <xf numFmtId="1" fontId="2" fillId="5" borderId="3" xfId="0" applyNumberFormat="1" applyFont="1" applyFill="1" applyBorder="1" applyAlignment="1">
      <alignment vertical="top" wrapText="1"/>
    </xf>
    <xf numFmtId="165" fontId="2" fillId="3" borderId="2" xfId="0" applyNumberFormat="1" applyFont="1" applyFill="1" applyBorder="1" applyAlignment="1">
      <alignment vertical="top" wrapText="1"/>
    </xf>
    <xf numFmtId="37" fontId="2" fillId="3" borderId="2" xfId="0" applyNumberFormat="1" applyFont="1" applyFill="1" applyBorder="1" applyAlignment="1">
      <alignment vertical="top" wrapText="1"/>
    </xf>
    <xf numFmtId="165" fontId="2" fillId="5" borderId="3" xfId="0" applyNumberFormat="1" applyFont="1" applyFill="1" applyBorder="1" applyAlignment="1">
      <alignment vertical="top" wrapText="1"/>
    </xf>
    <xf numFmtId="37" fontId="2" fillId="5" borderId="3" xfId="0" applyNumberFormat="1" applyFont="1" applyFill="1" applyBorder="1" applyAlignment="1">
      <alignment vertical="top" wrapText="1"/>
    </xf>
    <xf numFmtId="165" fontId="2" fillId="3" borderId="3" xfId="0" applyNumberFormat="1" applyFont="1" applyFill="1" applyBorder="1" applyAlignment="1">
      <alignment vertical="top" wrapText="1"/>
    </xf>
    <xf numFmtId="37" fontId="2" fillId="3" borderId="3" xfId="0" applyNumberFormat="1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  <xf numFmtId="3" fontId="2" fillId="3" borderId="2" xfId="0" applyNumberFormat="1" applyFont="1" applyFill="1" applyBorder="1" applyAlignment="1">
      <alignment vertical="top" wrapText="1"/>
    </xf>
    <xf numFmtId="164" fontId="2" fillId="5" borderId="3" xfId="0" applyNumberFormat="1" applyFont="1" applyFill="1" applyBorder="1" applyAlignment="1">
      <alignment vertical="top" wrapText="1"/>
    </xf>
    <xf numFmtId="3" fontId="2" fillId="5" borderId="3" xfId="0" applyNumberFormat="1" applyFont="1" applyFill="1" applyBorder="1" applyAlignment="1">
      <alignment vertical="top" wrapText="1"/>
    </xf>
    <xf numFmtId="164" fontId="2" fillId="3" borderId="3" xfId="0" applyNumberFormat="1" applyFont="1" applyFill="1" applyBorder="1" applyAlignment="1">
      <alignment vertical="top" wrapText="1"/>
    </xf>
    <xf numFmtId="3" fontId="2" fillId="3" borderId="3" xfId="0" applyNumberFormat="1" applyFont="1" applyFill="1" applyBorder="1" applyAlignment="1">
      <alignment vertical="top" wrapText="1"/>
    </xf>
    <xf numFmtId="49" fontId="2" fillId="5" borderId="3" xfId="0" applyNumberFormat="1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9FB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DDA24"/>
    <pageSetUpPr fitToPage="1"/>
  </sheetPr>
  <dimension ref="A1:I33"/>
  <sheetViews>
    <sheetView showGridLines="0" zoomScaleNormal="100" workbookViewId="0">
      <pane ySplit="2" topLeftCell="A3" activePane="bottomLeft" state="frozen"/>
      <selection pane="bottomLeft" activeCell="F2" sqref="F1:F1048576"/>
    </sheetView>
  </sheetViews>
  <sheetFormatPr baseColWidth="10" defaultColWidth="8.7265625" defaultRowHeight="15" customHeight="1" x14ac:dyDescent="0.35"/>
  <cols>
    <col min="1" max="1" width="17" customWidth="1"/>
    <col min="2" max="2" width="9" customWidth="1"/>
    <col min="3" max="3" width="11" customWidth="1"/>
    <col min="4" max="5" width="27" customWidth="1"/>
    <col min="6" max="6" width="14" customWidth="1"/>
    <col min="7" max="7" width="12" customWidth="1"/>
    <col min="8" max="8" width="21" customWidth="1"/>
    <col min="9" max="9" width="16" customWidth="1"/>
  </cols>
  <sheetData>
    <row r="1" spans="1:9" ht="26" customHeight="1" x14ac:dyDescent="0.35">
      <c r="A1" s="21" t="s">
        <v>321</v>
      </c>
      <c r="B1" s="22"/>
      <c r="C1" s="22"/>
      <c r="D1" s="22"/>
      <c r="E1" s="22"/>
      <c r="F1" s="22"/>
      <c r="G1" s="22"/>
      <c r="H1" s="22"/>
      <c r="I1" s="22"/>
    </row>
    <row r="2" spans="1:9" ht="39.75" customHeight="1" thickBot="1" x14ac:dyDescent="0.4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10</v>
      </c>
      <c r="G2" s="1" t="s">
        <v>11</v>
      </c>
      <c r="H2" s="1" t="s">
        <v>12</v>
      </c>
      <c r="I2" s="1" t="s">
        <v>13</v>
      </c>
    </row>
    <row r="3" spans="1:9" ht="25.5" thickTop="1" x14ac:dyDescent="0.35">
      <c r="A3" s="2" t="s">
        <v>14</v>
      </c>
      <c r="B3" s="2" t="s">
        <v>0</v>
      </c>
      <c r="C3" s="2" t="s">
        <v>15</v>
      </c>
      <c r="D3" s="2" t="s">
        <v>16</v>
      </c>
      <c r="E3" s="2" t="s">
        <v>17</v>
      </c>
      <c r="F3" s="7">
        <v>46266</v>
      </c>
      <c r="G3" s="5">
        <f t="shared" ref="G3:G33" si="0">F3-DATE(2026,8,31)</f>
        <v>1</v>
      </c>
      <c r="H3" s="14">
        <v>26000000</v>
      </c>
      <c r="I3" s="2" t="s">
        <v>18</v>
      </c>
    </row>
    <row r="4" spans="1:9" ht="25.5" thickBot="1" x14ac:dyDescent="0.4">
      <c r="A4" s="3" t="s">
        <v>14</v>
      </c>
      <c r="B4" s="3" t="s">
        <v>0</v>
      </c>
      <c r="C4" s="3" t="s">
        <v>15</v>
      </c>
      <c r="D4" s="3" t="s">
        <v>16</v>
      </c>
      <c r="E4" s="3" t="s">
        <v>17</v>
      </c>
      <c r="F4" s="9">
        <v>46267</v>
      </c>
      <c r="G4" s="6">
        <f t="shared" si="0"/>
        <v>2</v>
      </c>
      <c r="H4" s="16">
        <v>25000000</v>
      </c>
      <c r="I4" s="3" t="s">
        <v>18</v>
      </c>
    </row>
    <row r="5" spans="1:9" ht="25.5" thickTop="1" x14ac:dyDescent="0.35">
      <c r="A5" s="2" t="s">
        <v>14</v>
      </c>
      <c r="B5" s="2" t="s">
        <v>0</v>
      </c>
      <c r="C5" s="2" t="s">
        <v>19</v>
      </c>
      <c r="D5" s="2" t="s">
        <v>337</v>
      </c>
      <c r="E5" s="2" t="s">
        <v>17</v>
      </c>
      <c r="F5" s="7">
        <v>46266</v>
      </c>
      <c r="G5" s="5">
        <f t="shared" si="0"/>
        <v>1</v>
      </c>
      <c r="H5" s="14">
        <v>14000000</v>
      </c>
      <c r="I5" s="2" t="s">
        <v>18</v>
      </c>
    </row>
    <row r="6" spans="1:9" ht="25.5" thickBot="1" x14ac:dyDescent="0.4">
      <c r="A6" s="3" t="s">
        <v>14</v>
      </c>
      <c r="B6" s="3" t="s">
        <v>0</v>
      </c>
      <c r="C6" s="3" t="s">
        <v>33</v>
      </c>
      <c r="D6" s="3" t="s">
        <v>338</v>
      </c>
      <c r="E6" s="3" t="s">
        <v>17</v>
      </c>
      <c r="F6" s="9">
        <v>46266</v>
      </c>
      <c r="G6" s="6">
        <f t="shared" si="0"/>
        <v>1</v>
      </c>
      <c r="H6" s="16">
        <v>12000000</v>
      </c>
      <c r="I6" s="3" t="s">
        <v>18</v>
      </c>
    </row>
    <row r="7" spans="1:9" ht="25.5" thickTop="1" x14ac:dyDescent="0.35">
      <c r="A7" s="2" t="s">
        <v>14</v>
      </c>
      <c r="B7" s="2" t="s">
        <v>0</v>
      </c>
      <c r="C7" s="2" t="s">
        <v>19</v>
      </c>
      <c r="D7" s="2" t="s">
        <v>348</v>
      </c>
      <c r="E7" s="2" t="s">
        <v>17</v>
      </c>
      <c r="F7" s="7">
        <v>46266</v>
      </c>
      <c r="G7" s="5">
        <f t="shared" si="0"/>
        <v>1</v>
      </c>
      <c r="H7" s="14">
        <v>0</v>
      </c>
      <c r="I7" s="2" t="s">
        <v>18</v>
      </c>
    </row>
    <row r="8" spans="1:9" ht="25.5" thickBot="1" x14ac:dyDescent="0.4">
      <c r="A8" s="3" t="s">
        <v>14</v>
      </c>
      <c r="B8" s="3" t="s">
        <v>1</v>
      </c>
      <c r="C8" s="3" t="s">
        <v>15</v>
      </c>
      <c r="D8" s="3" t="s">
        <v>20</v>
      </c>
      <c r="E8" s="3" t="s">
        <v>17</v>
      </c>
      <c r="F8" s="9">
        <v>46266</v>
      </c>
      <c r="G8" s="6">
        <f t="shared" si="0"/>
        <v>1</v>
      </c>
      <c r="H8" s="16">
        <v>18000000</v>
      </c>
      <c r="I8" s="3" t="s">
        <v>18</v>
      </c>
    </row>
    <row r="9" spans="1:9" ht="25.5" thickTop="1" x14ac:dyDescent="0.35">
      <c r="A9" s="2" t="s">
        <v>14</v>
      </c>
      <c r="B9" s="2" t="s">
        <v>1</v>
      </c>
      <c r="C9" s="2" t="s">
        <v>15</v>
      </c>
      <c r="D9" s="2" t="s">
        <v>20</v>
      </c>
      <c r="E9" s="2" t="s">
        <v>21</v>
      </c>
      <c r="F9" s="7">
        <v>46266</v>
      </c>
      <c r="G9" s="5">
        <f t="shared" si="0"/>
        <v>1</v>
      </c>
      <c r="H9" s="14">
        <v>22000000</v>
      </c>
      <c r="I9" s="2" t="s">
        <v>18</v>
      </c>
    </row>
    <row r="10" spans="1:9" ht="25.5" thickBot="1" x14ac:dyDescent="0.4">
      <c r="A10" s="3" t="s">
        <v>14</v>
      </c>
      <c r="B10" s="3" t="s">
        <v>1</v>
      </c>
      <c r="C10" s="3" t="s">
        <v>15</v>
      </c>
      <c r="D10" s="3" t="s">
        <v>339</v>
      </c>
      <c r="E10" s="3" t="s">
        <v>17</v>
      </c>
      <c r="F10" s="9">
        <v>46266</v>
      </c>
      <c r="G10" s="6">
        <f t="shared" si="0"/>
        <v>1</v>
      </c>
      <c r="H10" s="16">
        <v>16000000</v>
      </c>
      <c r="I10" s="3" t="s">
        <v>18</v>
      </c>
    </row>
    <row r="11" spans="1:9" ht="25.5" thickTop="1" x14ac:dyDescent="0.35">
      <c r="A11" s="2" t="s">
        <v>14</v>
      </c>
      <c r="B11" s="2" t="s">
        <v>1</v>
      </c>
      <c r="C11" s="2" t="s">
        <v>15</v>
      </c>
      <c r="D11" s="2" t="s">
        <v>339</v>
      </c>
      <c r="E11" s="2" t="s">
        <v>21</v>
      </c>
      <c r="F11" s="7">
        <v>46266</v>
      </c>
      <c r="G11" s="5">
        <f t="shared" si="0"/>
        <v>1</v>
      </c>
      <c r="H11" s="14">
        <v>9000000</v>
      </c>
      <c r="I11" s="2" t="s">
        <v>18</v>
      </c>
    </row>
    <row r="12" spans="1:9" ht="25.5" thickBot="1" x14ac:dyDescent="0.4">
      <c r="A12" s="3" t="s">
        <v>14</v>
      </c>
      <c r="B12" s="3" t="s">
        <v>1</v>
      </c>
      <c r="C12" s="3" t="s">
        <v>19</v>
      </c>
      <c r="D12" s="3" t="s">
        <v>340</v>
      </c>
      <c r="E12" s="3" t="s">
        <v>17</v>
      </c>
      <c r="F12" s="9">
        <v>46266</v>
      </c>
      <c r="G12" s="6">
        <f t="shared" si="0"/>
        <v>1</v>
      </c>
      <c r="H12" s="16">
        <v>7000000</v>
      </c>
      <c r="I12" s="3" t="s">
        <v>18</v>
      </c>
    </row>
    <row r="13" spans="1:9" ht="25.5" thickTop="1" x14ac:dyDescent="0.35">
      <c r="A13" s="2" t="s">
        <v>14</v>
      </c>
      <c r="B13" s="2" t="s">
        <v>1</v>
      </c>
      <c r="C13" s="2" t="s">
        <v>19</v>
      </c>
      <c r="D13" s="2" t="s">
        <v>340</v>
      </c>
      <c r="E13" s="2" t="s">
        <v>21</v>
      </c>
      <c r="F13" s="7">
        <v>46266</v>
      </c>
      <c r="G13" s="5">
        <f t="shared" si="0"/>
        <v>1</v>
      </c>
      <c r="H13" s="14">
        <v>19000000</v>
      </c>
      <c r="I13" s="2" t="s">
        <v>18</v>
      </c>
    </row>
    <row r="14" spans="1:9" ht="15" customHeight="1" thickBot="1" x14ac:dyDescent="0.4">
      <c r="A14" s="3" t="s">
        <v>14</v>
      </c>
      <c r="B14" s="3" t="s">
        <v>1</v>
      </c>
      <c r="C14" s="3" t="s">
        <v>33</v>
      </c>
      <c r="D14" s="3" t="s">
        <v>341</v>
      </c>
      <c r="E14" s="3" t="s">
        <v>17</v>
      </c>
      <c r="F14" s="9">
        <v>46266</v>
      </c>
      <c r="G14" s="6">
        <f t="shared" si="0"/>
        <v>1</v>
      </c>
      <c r="H14" s="16">
        <v>6000000</v>
      </c>
      <c r="I14" s="3" t="s">
        <v>18</v>
      </c>
    </row>
    <row r="15" spans="1:9" ht="15" customHeight="1" thickTop="1" x14ac:dyDescent="0.35">
      <c r="A15" s="2" t="s">
        <v>14</v>
      </c>
      <c r="B15" s="2" t="s">
        <v>1</v>
      </c>
      <c r="C15" s="2" t="s">
        <v>33</v>
      </c>
      <c r="D15" s="2" t="s">
        <v>341</v>
      </c>
      <c r="E15" s="2" t="s">
        <v>21</v>
      </c>
      <c r="F15" s="7">
        <v>46266</v>
      </c>
      <c r="G15" s="5">
        <f t="shared" si="0"/>
        <v>1</v>
      </c>
      <c r="H15" s="14">
        <v>17000000</v>
      </c>
      <c r="I15" s="2" t="s">
        <v>18</v>
      </c>
    </row>
    <row r="16" spans="1:9" ht="15" customHeight="1" thickBot="1" x14ac:dyDescent="0.4">
      <c r="A16" s="3" t="s">
        <v>14</v>
      </c>
      <c r="B16" s="3" t="s">
        <v>1</v>
      </c>
      <c r="C16" s="3" t="s">
        <v>33</v>
      </c>
      <c r="D16" s="3" t="s">
        <v>342</v>
      </c>
      <c r="E16" s="3" t="s">
        <v>17</v>
      </c>
      <c r="F16" s="9">
        <v>46266</v>
      </c>
      <c r="G16" s="6">
        <f t="shared" si="0"/>
        <v>1</v>
      </c>
      <c r="H16" s="16">
        <v>15000000</v>
      </c>
      <c r="I16" s="3" t="s">
        <v>18</v>
      </c>
    </row>
    <row r="17" spans="1:9" ht="15" customHeight="1" thickTop="1" x14ac:dyDescent="0.35">
      <c r="A17" s="2" t="s">
        <v>14</v>
      </c>
      <c r="B17" s="2" t="s">
        <v>1</v>
      </c>
      <c r="C17" s="2" t="s">
        <v>33</v>
      </c>
      <c r="D17" s="2" t="s">
        <v>342</v>
      </c>
      <c r="E17" s="2" t="s">
        <v>21</v>
      </c>
      <c r="F17" s="7">
        <v>46266</v>
      </c>
      <c r="G17" s="5">
        <f t="shared" si="0"/>
        <v>1</v>
      </c>
      <c r="H17" s="14">
        <v>12000000</v>
      </c>
      <c r="I17" s="2" t="s">
        <v>18</v>
      </c>
    </row>
    <row r="18" spans="1:9" ht="15" customHeight="1" thickBot="1" x14ac:dyDescent="0.4">
      <c r="A18" s="3" t="s">
        <v>14</v>
      </c>
      <c r="B18" s="3" t="s">
        <v>1</v>
      </c>
      <c r="C18" s="3" t="s">
        <v>15</v>
      </c>
      <c r="D18" s="3" t="s">
        <v>343</v>
      </c>
      <c r="E18" s="3" t="s">
        <v>17</v>
      </c>
      <c r="F18" s="9">
        <v>46266</v>
      </c>
      <c r="G18" s="6">
        <f t="shared" si="0"/>
        <v>1</v>
      </c>
      <c r="H18" s="16">
        <v>10000000</v>
      </c>
      <c r="I18" s="3" t="s">
        <v>18</v>
      </c>
    </row>
    <row r="19" spans="1:9" ht="15" customHeight="1" thickTop="1" x14ac:dyDescent="0.35">
      <c r="A19" s="2" t="s">
        <v>14</v>
      </c>
      <c r="B19" s="2" t="s">
        <v>1</v>
      </c>
      <c r="C19" s="2" t="s">
        <v>15</v>
      </c>
      <c r="D19" s="2" t="s">
        <v>343</v>
      </c>
      <c r="E19" s="2" t="s">
        <v>21</v>
      </c>
      <c r="F19" s="7">
        <v>46266</v>
      </c>
      <c r="G19" s="5">
        <f t="shared" si="0"/>
        <v>1</v>
      </c>
      <c r="H19" s="14">
        <v>10000000</v>
      </c>
      <c r="I19" s="2" t="s">
        <v>18</v>
      </c>
    </row>
    <row r="20" spans="1:9" ht="15" customHeight="1" thickBot="1" x14ac:dyDescent="0.4">
      <c r="A20" s="3" t="s">
        <v>14</v>
      </c>
      <c r="B20" s="3" t="s">
        <v>2</v>
      </c>
      <c r="C20" s="3" t="s">
        <v>19</v>
      </c>
      <c r="D20" s="3" t="s">
        <v>22</v>
      </c>
      <c r="E20" s="3" t="s">
        <v>23</v>
      </c>
      <c r="F20" s="9">
        <v>46266</v>
      </c>
      <c r="G20" s="6">
        <f t="shared" si="0"/>
        <v>1</v>
      </c>
      <c r="H20" s="16">
        <v>240000000</v>
      </c>
      <c r="I20" s="3" t="s">
        <v>18</v>
      </c>
    </row>
    <row r="21" spans="1:9" ht="15" customHeight="1" thickTop="1" x14ac:dyDescent="0.35">
      <c r="A21" s="2" t="s">
        <v>14</v>
      </c>
      <c r="B21" s="2" t="s">
        <v>2</v>
      </c>
      <c r="C21" s="2" t="s">
        <v>19</v>
      </c>
      <c r="D21" s="2" t="s">
        <v>22</v>
      </c>
      <c r="E21" s="2" t="s">
        <v>24</v>
      </c>
      <c r="F21" s="7">
        <v>46266</v>
      </c>
      <c r="G21" s="5">
        <f t="shared" si="0"/>
        <v>1</v>
      </c>
      <c r="H21" s="14">
        <v>265000000</v>
      </c>
      <c r="I21" s="2" t="s">
        <v>18</v>
      </c>
    </row>
    <row r="22" spans="1:9" ht="15" customHeight="1" thickBot="1" x14ac:dyDescent="0.4">
      <c r="A22" s="3" t="s">
        <v>14</v>
      </c>
      <c r="B22" s="3" t="s">
        <v>2</v>
      </c>
      <c r="C22" s="3" t="s">
        <v>15</v>
      </c>
      <c r="D22" s="3" t="s">
        <v>344</v>
      </c>
      <c r="E22" s="3" t="s">
        <v>23</v>
      </c>
      <c r="F22" s="9">
        <v>46266</v>
      </c>
      <c r="G22" s="6">
        <f t="shared" si="0"/>
        <v>1</v>
      </c>
      <c r="H22" s="16">
        <v>150000000</v>
      </c>
      <c r="I22" s="3" t="s">
        <v>18</v>
      </c>
    </row>
    <row r="23" spans="1:9" ht="15" customHeight="1" thickTop="1" x14ac:dyDescent="0.35">
      <c r="A23" s="2" t="s">
        <v>14</v>
      </c>
      <c r="B23" s="2" t="s">
        <v>2</v>
      </c>
      <c r="C23" s="2" t="s">
        <v>15</v>
      </c>
      <c r="D23" s="2" t="s">
        <v>344</v>
      </c>
      <c r="E23" s="2" t="s">
        <v>24</v>
      </c>
      <c r="F23" s="7">
        <v>46266</v>
      </c>
      <c r="G23" s="5">
        <f t="shared" si="0"/>
        <v>1</v>
      </c>
      <c r="H23" s="14">
        <v>290000000</v>
      </c>
      <c r="I23" s="2" t="s">
        <v>18</v>
      </c>
    </row>
    <row r="24" spans="1:9" ht="15" customHeight="1" thickBot="1" x14ac:dyDescent="0.4">
      <c r="A24" s="3" t="s">
        <v>14</v>
      </c>
      <c r="B24" s="3" t="s">
        <v>2</v>
      </c>
      <c r="C24" s="3" t="s">
        <v>15</v>
      </c>
      <c r="D24" s="3" t="s">
        <v>345</v>
      </c>
      <c r="E24" s="3" t="s">
        <v>23</v>
      </c>
      <c r="F24" s="9">
        <v>46266</v>
      </c>
      <c r="G24" s="6">
        <f t="shared" si="0"/>
        <v>1</v>
      </c>
      <c r="H24" s="16">
        <v>180000000</v>
      </c>
      <c r="I24" s="3" t="s">
        <v>18</v>
      </c>
    </row>
    <row r="25" spans="1:9" ht="15" customHeight="1" thickTop="1" x14ac:dyDescent="0.35">
      <c r="A25" s="2" t="s">
        <v>14</v>
      </c>
      <c r="B25" s="2" t="s">
        <v>2</v>
      </c>
      <c r="C25" s="2" t="s">
        <v>15</v>
      </c>
      <c r="D25" s="2" t="s">
        <v>345</v>
      </c>
      <c r="E25" s="2" t="s">
        <v>24</v>
      </c>
      <c r="F25" s="7">
        <v>46266</v>
      </c>
      <c r="G25" s="5">
        <f t="shared" si="0"/>
        <v>1</v>
      </c>
      <c r="H25" s="14">
        <v>420000000</v>
      </c>
      <c r="I25" s="2" t="s">
        <v>18</v>
      </c>
    </row>
    <row r="26" spans="1:9" ht="15" customHeight="1" thickBot="1" x14ac:dyDescent="0.4">
      <c r="A26" s="3" t="s">
        <v>14</v>
      </c>
      <c r="B26" s="3" t="s">
        <v>2</v>
      </c>
      <c r="C26" s="3" t="s">
        <v>19</v>
      </c>
      <c r="D26" s="3" t="s">
        <v>346</v>
      </c>
      <c r="E26" s="3" t="s">
        <v>23</v>
      </c>
      <c r="F26" s="9">
        <v>46266</v>
      </c>
      <c r="G26" s="6">
        <f t="shared" si="0"/>
        <v>1</v>
      </c>
      <c r="H26" s="16">
        <v>310000000</v>
      </c>
      <c r="I26" s="3" t="s">
        <v>18</v>
      </c>
    </row>
    <row r="27" spans="1:9" ht="15" customHeight="1" thickTop="1" x14ac:dyDescent="0.35">
      <c r="A27" s="2" t="s">
        <v>14</v>
      </c>
      <c r="B27" s="2" t="s">
        <v>2</v>
      </c>
      <c r="C27" s="2" t="s">
        <v>19</v>
      </c>
      <c r="D27" s="2" t="s">
        <v>346</v>
      </c>
      <c r="E27" s="2" t="s">
        <v>24</v>
      </c>
      <c r="F27" s="7">
        <v>46266</v>
      </c>
      <c r="G27" s="5">
        <f t="shared" si="0"/>
        <v>1</v>
      </c>
      <c r="H27" s="14">
        <v>150000000</v>
      </c>
      <c r="I27" s="2" t="s">
        <v>18</v>
      </c>
    </row>
    <row r="28" spans="1:9" ht="15" customHeight="1" thickBot="1" x14ac:dyDescent="0.4">
      <c r="A28" s="3" t="s">
        <v>14</v>
      </c>
      <c r="B28" s="3" t="s">
        <v>2</v>
      </c>
      <c r="C28" s="3" t="s">
        <v>33</v>
      </c>
      <c r="D28" s="3" t="s">
        <v>347</v>
      </c>
      <c r="E28" s="3" t="s">
        <v>23</v>
      </c>
      <c r="F28" s="9">
        <v>46266</v>
      </c>
      <c r="G28" s="6">
        <f t="shared" si="0"/>
        <v>1</v>
      </c>
      <c r="H28" s="16">
        <v>90000000</v>
      </c>
      <c r="I28" s="3" t="s">
        <v>18</v>
      </c>
    </row>
    <row r="29" spans="1:9" ht="15" customHeight="1" thickTop="1" x14ac:dyDescent="0.35">
      <c r="A29" s="2" t="s">
        <v>14</v>
      </c>
      <c r="B29" s="2" t="s">
        <v>2</v>
      </c>
      <c r="C29" s="2" t="s">
        <v>33</v>
      </c>
      <c r="D29" s="2" t="s">
        <v>347</v>
      </c>
      <c r="E29" s="2" t="s">
        <v>24</v>
      </c>
      <c r="F29" s="7">
        <v>46266</v>
      </c>
      <c r="G29" s="5">
        <f t="shared" si="0"/>
        <v>1</v>
      </c>
      <c r="H29" s="14">
        <v>95000000</v>
      </c>
      <c r="I29" s="2" t="s">
        <v>18</v>
      </c>
    </row>
    <row r="30" spans="1:9" ht="15" customHeight="1" thickBot="1" x14ac:dyDescent="0.4">
      <c r="A30" s="3" t="s">
        <v>14</v>
      </c>
      <c r="B30" s="3" t="s">
        <v>25</v>
      </c>
      <c r="C30" s="3" t="s">
        <v>15</v>
      </c>
      <c r="D30" s="3" t="s">
        <v>26</v>
      </c>
      <c r="E30" s="3" t="s">
        <v>27</v>
      </c>
      <c r="F30" s="9">
        <v>46266</v>
      </c>
      <c r="G30" s="6">
        <f t="shared" si="0"/>
        <v>1</v>
      </c>
      <c r="H30" s="16">
        <v>95000000</v>
      </c>
      <c r="I30" s="3" t="s">
        <v>28</v>
      </c>
    </row>
    <row r="31" spans="1:9" ht="15" customHeight="1" thickTop="1" x14ac:dyDescent="0.35">
      <c r="A31" s="2" t="s">
        <v>14</v>
      </c>
      <c r="B31" s="2" t="s">
        <v>25</v>
      </c>
      <c r="C31" s="2" t="s">
        <v>19</v>
      </c>
      <c r="D31" s="2" t="s">
        <v>29</v>
      </c>
      <c r="E31" s="2" t="s">
        <v>27</v>
      </c>
      <c r="F31" s="7">
        <v>46266</v>
      </c>
      <c r="G31" s="5">
        <f t="shared" si="0"/>
        <v>1</v>
      </c>
      <c r="H31" s="14">
        <v>30000000</v>
      </c>
      <c r="I31" s="2" t="s">
        <v>28</v>
      </c>
    </row>
    <row r="32" spans="1:9" ht="15" customHeight="1" thickBot="1" x14ac:dyDescent="0.4">
      <c r="A32" s="3" t="s">
        <v>14</v>
      </c>
      <c r="B32" s="3" t="s">
        <v>30</v>
      </c>
      <c r="C32" s="3" t="s">
        <v>15</v>
      </c>
      <c r="D32" s="3" t="s">
        <v>31</v>
      </c>
      <c r="E32" s="3" t="s">
        <v>32</v>
      </c>
      <c r="F32" s="9">
        <v>46266</v>
      </c>
      <c r="G32" s="6">
        <f t="shared" si="0"/>
        <v>1</v>
      </c>
      <c r="H32" s="16">
        <v>120000000</v>
      </c>
      <c r="I32" s="3" t="s">
        <v>28</v>
      </c>
    </row>
    <row r="33" spans="1:9" ht="15" customHeight="1" thickTop="1" x14ac:dyDescent="0.35">
      <c r="A33" s="2" t="s">
        <v>14</v>
      </c>
      <c r="B33" s="2" t="s">
        <v>30</v>
      </c>
      <c r="C33" s="2" t="s">
        <v>33</v>
      </c>
      <c r="D33" s="2" t="s">
        <v>34</v>
      </c>
      <c r="E33" s="2" t="s">
        <v>32</v>
      </c>
      <c r="F33" s="7">
        <v>46266</v>
      </c>
      <c r="G33" s="5">
        <f t="shared" si="0"/>
        <v>1</v>
      </c>
      <c r="H33" s="14">
        <v>40000000</v>
      </c>
      <c r="I33" s="2" t="s">
        <v>28</v>
      </c>
    </row>
  </sheetData>
  <autoFilter ref="A2:I13" xr:uid="{00000000-0009-0000-0000-000001000000}"/>
  <mergeCells count="1">
    <mergeCell ref="A1:I1"/>
  </mergeCells>
  <dataValidations count="3">
    <dataValidation type="list" allowBlank="1" sqref="B3:B1013" xr:uid="{00000000-0002-0000-0100-000000000000}">
      <formula1>"M1,M2,M3,M4,M5"</formula1>
      <formula2>0</formula2>
    </dataValidation>
    <dataValidation type="list" allowBlank="1" sqref="E3:E1013" xr:uid="{00000000-0002-0000-0100-000001000000}">
      <formula1>"pagado,cash_in,entradas,salidas,ingreso_efectivo_cbr,ingreso_efectivo_clientes"</formula1>
      <formula2>0</formula2>
    </dataValidation>
    <dataValidation type="list" allowBlank="1" sqref="I3:I1013" xr:uid="{00000000-0002-0000-0100-000002000000}">
      <formula1>"entidad-dia,fondo-dia"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DDA24"/>
    <pageSetUpPr fitToPage="1"/>
  </sheetPr>
  <dimension ref="A1:P16"/>
  <sheetViews>
    <sheetView showGridLines="0" zoomScaleNormal="100" workbookViewId="0">
      <pane ySplit="2" topLeftCell="A3" activePane="bottomLeft" state="frozen"/>
      <selection pane="bottomLeft" activeCell="O2" sqref="O2"/>
    </sheetView>
  </sheetViews>
  <sheetFormatPr baseColWidth="10" defaultColWidth="8.7265625" defaultRowHeight="15" customHeight="1" x14ac:dyDescent="0.35"/>
  <cols>
    <col min="1" max="1" width="17" customWidth="1"/>
    <col min="2" max="2" width="8" customWidth="1"/>
    <col min="3" max="3" width="10" customWidth="1"/>
    <col min="4" max="4" width="22" customWidth="1"/>
    <col min="5" max="5" width="18" customWidth="1"/>
    <col min="6" max="7" width="14" customWidth="1"/>
    <col min="8" max="8" width="17" customWidth="1"/>
    <col min="9" max="9" width="11" customWidth="1"/>
    <col min="10" max="10" width="34" customWidth="1"/>
    <col min="11" max="11" width="60" customWidth="1"/>
    <col min="12" max="12" width="17" customWidth="1"/>
    <col min="13" max="13" width="18" customWidth="1"/>
    <col min="14" max="14" width="16" customWidth="1"/>
    <col min="15" max="15" width="18" customWidth="1"/>
    <col min="16" max="16" width="16" customWidth="1"/>
  </cols>
  <sheetData>
    <row r="1" spans="1:16" ht="26" customHeight="1" x14ac:dyDescent="0.35">
      <c r="A1" s="21" t="s">
        <v>322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39.75" customHeight="1" thickBot="1" x14ac:dyDescent="0.4">
      <c r="A2" s="1" t="s">
        <v>4</v>
      </c>
      <c r="B2" s="1" t="s">
        <v>5</v>
      </c>
      <c r="C2" s="1" t="s">
        <v>6</v>
      </c>
      <c r="D2" s="1" t="s">
        <v>7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47</v>
      </c>
    </row>
    <row r="3" spans="1:16" ht="61.5" customHeight="1" thickTop="1" x14ac:dyDescent="0.35">
      <c r="A3" s="2" t="s">
        <v>14</v>
      </c>
      <c r="B3" s="2" t="s">
        <v>0</v>
      </c>
      <c r="C3" s="2" t="s">
        <v>15</v>
      </c>
      <c r="D3" s="2" t="s">
        <v>16</v>
      </c>
      <c r="E3" s="2" t="s">
        <v>48</v>
      </c>
      <c r="F3" s="7">
        <v>46270</v>
      </c>
      <c r="G3" s="2" t="s">
        <v>49</v>
      </c>
      <c r="H3" s="8">
        <v>320000000</v>
      </c>
      <c r="I3" s="2" t="s">
        <v>50</v>
      </c>
      <c r="J3" s="2" t="s">
        <v>51</v>
      </c>
      <c r="K3" s="2" t="s">
        <v>52</v>
      </c>
      <c r="L3" s="8">
        <v>400000000</v>
      </c>
      <c r="M3" s="8">
        <v>80000000</v>
      </c>
      <c r="N3" s="13">
        <f t="shared" ref="N3:N16" si="0">IF(ISNUMBER(M3),M3/L3,"No aplica")</f>
        <v>0.2</v>
      </c>
      <c r="O3" s="14">
        <f t="shared" ref="O3:O16" si="1">IF(G3="provision",M3+H3,IF(G3="recoleccion",M3-H3,"No aplica"))</f>
        <v>400000000</v>
      </c>
      <c r="P3" s="8">
        <v>138159</v>
      </c>
    </row>
    <row r="4" spans="1:16" ht="61.5" customHeight="1" x14ac:dyDescent="0.35">
      <c r="A4" s="3" t="s">
        <v>14</v>
      </c>
      <c r="B4" s="3" t="s">
        <v>0</v>
      </c>
      <c r="C4" s="3" t="s">
        <v>19</v>
      </c>
      <c r="D4" s="3" t="s">
        <v>337</v>
      </c>
      <c r="E4" s="3" t="s">
        <v>54</v>
      </c>
      <c r="F4" s="9">
        <v>46272</v>
      </c>
      <c r="G4" s="3" t="s">
        <v>49</v>
      </c>
      <c r="H4" s="10">
        <v>180000000</v>
      </c>
      <c r="I4" s="3" t="s">
        <v>55</v>
      </c>
      <c r="J4" s="3" t="s">
        <v>51</v>
      </c>
      <c r="K4" s="3" t="s">
        <v>56</v>
      </c>
      <c r="L4" s="10">
        <v>250000000</v>
      </c>
      <c r="M4" s="10">
        <v>70000000</v>
      </c>
      <c r="N4" s="15">
        <f t="shared" si="0"/>
        <v>0.28000000000000003</v>
      </c>
      <c r="O4" s="16">
        <f t="shared" si="1"/>
        <v>250000000</v>
      </c>
      <c r="P4" s="3">
        <v>0</v>
      </c>
    </row>
    <row r="5" spans="1:16" ht="61.5" customHeight="1" x14ac:dyDescent="0.35">
      <c r="A5" s="4" t="s">
        <v>14</v>
      </c>
      <c r="B5" s="4" t="s">
        <v>0</v>
      </c>
      <c r="C5" s="4" t="s">
        <v>33</v>
      </c>
      <c r="D5" s="4" t="s">
        <v>338</v>
      </c>
      <c r="E5" s="4" t="s">
        <v>48</v>
      </c>
      <c r="F5" s="11">
        <v>46266</v>
      </c>
      <c r="G5" s="4" t="s">
        <v>57</v>
      </c>
      <c r="H5" s="4">
        <v>0</v>
      </c>
      <c r="I5" s="4" t="s">
        <v>58</v>
      </c>
      <c r="J5" s="4" t="s">
        <v>59</v>
      </c>
      <c r="K5" s="4" t="s">
        <v>60</v>
      </c>
      <c r="L5" s="12">
        <v>300000000</v>
      </c>
      <c r="M5" s="4" t="s">
        <v>61</v>
      </c>
      <c r="N5" s="17" t="str">
        <f t="shared" si="0"/>
        <v>No aplica</v>
      </c>
      <c r="O5" s="18" t="str">
        <f t="shared" si="1"/>
        <v>No aplica</v>
      </c>
      <c r="P5" s="4" t="s">
        <v>61</v>
      </c>
    </row>
    <row r="6" spans="1:16" ht="61.5" customHeight="1" x14ac:dyDescent="0.35">
      <c r="A6" s="3" t="s">
        <v>14</v>
      </c>
      <c r="B6" s="3" t="s">
        <v>1</v>
      </c>
      <c r="C6" s="3" t="s">
        <v>15</v>
      </c>
      <c r="D6" s="3" t="s">
        <v>20</v>
      </c>
      <c r="E6" s="3" t="s">
        <v>48</v>
      </c>
      <c r="F6" s="9">
        <v>46269</v>
      </c>
      <c r="G6" s="3" t="s">
        <v>49</v>
      </c>
      <c r="H6" s="10">
        <v>112000000</v>
      </c>
      <c r="I6" s="3" t="s">
        <v>50</v>
      </c>
      <c r="J6" s="3" t="s">
        <v>62</v>
      </c>
      <c r="K6" s="3" t="s">
        <v>63</v>
      </c>
      <c r="L6" s="10">
        <v>120000000</v>
      </c>
      <c r="M6" s="10">
        <v>8000000</v>
      </c>
      <c r="N6" s="15">
        <f t="shared" si="0"/>
        <v>6.6666666666666666E-2</v>
      </c>
      <c r="O6" s="16">
        <f t="shared" si="1"/>
        <v>120000000</v>
      </c>
      <c r="P6" s="10">
        <v>158307</v>
      </c>
    </row>
    <row r="7" spans="1:16" ht="61.5" customHeight="1" x14ac:dyDescent="0.35">
      <c r="A7" s="4" t="s">
        <v>14</v>
      </c>
      <c r="B7" s="4" t="s">
        <v>1</v>
      </c>
      <c r="C7" s="4" t="s">
        <v>15</v>
      </c>
      <c r="D7" s="4" t="s">
        <v>339</v>
      </c>
      <c r="E7" s="4" t="s">
        <v>54</v>
      </c>
      <c r="F7" s="11">
        <v>46271</v>
      </c>
      <c r="G7" s="4" t="s">
        <v>49</v>
      </c>
      <c r="H7" s="12">
        <f>L7-M7</f>
        <v>114000000</v>
      </c>
      <c r="I7" s="4" t="s">
        <v>50</v>
      </c>
      <c r="J7" s="4" t="s">
        <v>299</v>
      </c>
      <c r="K7" s="4" t="s">
        <v>300</v>
      </c>
      <c r="L7" s="12">
        <v>120000000</v>
      </c>
      <c r="M7" s="12">
        <v>6000000</v>
      </c>
      <c r="N7" s="17">
        <f t="shared" si="0"/>
        <v>0.05</v>
      </c>
      <c r="O7" s="18">
        <f t="shared" si="1"/>
        <v>120000000</v>
      </c>
      <c r="P7" s="4">
        <v>0</v>
      </c>
    </row>
    <row r="8" spans="1:16" ht="61.5" customHeight="1" x14ac:dyDescent="0.35">
      <c r="A8" s="3" t="s">
        <v>14</v>
      </c>
      <c r="B8" s="3" t="s">
        <v>1</v>
      </c>
      <c r="C8" s="3" t="s">
        <v>19</v>
      </c>
      <c r="D8" s="3" t="s">
        <v>340</v>
      </c>
      <c r="E8" s="3" t="s">
        <v>48</v>
      </c>
      <c r="F8" s="9">
        <v>46278</v>
      </c>
      <c r="G8" s="3" t="s">
        <v>64</v>
      </c>
      <c r="H8" s="10">
        <v>18000000</v>
      </c>
      <c r="I8" s="3" t="s">
        <v>55</v>
      </c>
      <c r="J8" s="3" t="s">
        <v>65</v>
      </c>
      <c r="K8" s="3" t="s">
        <v>66</v>
      </c>
      <c r="L8" s="10">
        <v>90000000</v>
      </c>
      <c r="M8" s="10">
        <v>108000000</v>
      </c>
      <c r="N8" s="15">
        <f t="shared" si="0"/>
        <v>1.2</v>
      </c>
      <c r="O8" s="16">
        <f t="shared" si="1"/>
        <v>90000000</v>
      </c>
      <c r="P8" s="10">
        <v>195500</v>
      </c>
    </row>
    <row r="9" spans="1:16" ht="61.5" customHeight="1" x14ac:dyDescent="0.35">
      <c r="A9" s="4" t="s">
        <v>14</v>
      </c>
      <c r="B9" s="4" t="s">
        <v>1</v>
      </c>
      <c r="C9" s="4" t="s">
        <v>33</v>
      </c>
      <c r="D9" s="4" t="s">
        <v>341</v>
      </c>
      <c r="E9" s="4" t="s">
        <v>54</v>
      </c>
      <c r="F9" s="11">
        <v>46274</v>
      </c>
      <c r="G9" s="4" t="s">
        <v>64</v>
      </c>
      <c r="H9" s="12">
        <f>M9-L9</f>
        <v>25000000</v>
      </c>
      <c r="I9" s="4" t="s">
        <v>55</v>
      </c>
      <c r="J9" s="4" t="s">
        <v>301</v>
      </c>
      <c r="K9" s="4" t="s">
        <v>302</v>
      </c>
      <c r="L9" s="12">
        <v>70000000</v>
      </c>
      <c r="M9" s="12">
        <v>95000000</v>
      </c>
      <c r="N9" s="17">
        <f t="shared" si="0"/>
        <v>1.3571428571428572</v>
      </c>
      <c r="O9" s="18">
        <f t="shared" si="1"/>
        <v>70000000</v>
      </c>
      <c r="P9" s="4">
        <v>0</v>
      </c>
    </row>
    <row r="10" spans="1:16" ht="61.5" customHeight="1" x14ac:dyDescent="0.35">
      <c r="A10" s="3" t="s">
        <v>14</v>
      </c>
      <c r="B10" s="3" t="s">
        <v>1</v>
      </c>
      <c r="C10" s="3" t="s">
        <v>33</v>
      </c>
      <c r="D10" s="3" t="s">
        <v>342</v>
      </c>
      <c r="E10" s="3" t="s">
        <v>48</v>
      </c>
      <c r="F10" s="9">
        <v>46275</v>
      </c>
      <c r="G10" s="3" t="s">
        <v>49</v>
      </c>
      <c r="H10" s="10">
        <v>65000000</v>
      </c>
      <c r="I10" s="3" t="s">
        <v>50</v>
      </c>
      <c r="J10" s="3" t="s">
        <v>67</v>
      </c>
      <c r="K10" s="3" t="s">
        <v>68</v>
      </c>
      <c r="L10" s="10">
        <v>70000000</v>
      </c>
      <c r="M10" s="10">
        <v>5000000</v>
      </c>
      <c r="N10" s="15">
        <f t="shared" si="0"/>
        <v>7.1428571428571425E-2</v>
      </c>
      <c r="O10" s="16">
        <f t="shared" si="1"/>
        <v>70000000</v>
      </c>
      <c r="P10" s="10">
        <v>220710</v>
      </c>
    </row>
    <row r="11" spans="1:16" ht="61.5" customHeight="1" x14ac:dyDescent="0.35">
      <c r="A11" s="4" t="s">
        <v>14</v>
      </c>
      <c r="B11" s="4" t="s">
        <v>1</v>
      </c>
      <c r="C11" s="4" t="s">
        <v>15</v>
      </c>
      <c r="D11" s="4" t="s">
        <v>343</v>
      </c>
      <c r="E11" s="4" t="s">
        <v>48</v>
      </c>
      <c r="F11" s="11">
        <v>46266</v>
      </c>
      <c r="G11" s="4" t="s">
        <v>57</v>
      </c>
      <c r="H11" s="4">
        <v>0</v>
      </c>
      <c r="I11" s="4" t="s">
        <v>58</v>
      </c>
      <c r="J11" s="4" t="s">
        <v>59</v>
      </c>
      <c r="K11" s="4" t="s">
        <v>69</v>
      </c>
      <c r="L11" s="12">
        <v>70000000</v>
      </c>
      <c r="M11" s="4" t="s">
        <v>61</v>
      </c>
      <c r="N11" s="17" t="str">
        <f t="shared" si="0"/>
        <v>No aplica</v>
      </c>
      <c r="O11" s="18" t="str">
        <f t="shared" si="1"/>
        <v>No aplica</v>
      </c>
      <c r="P11" s="4" t="s">
        <v>61</v>
      </c>
    </row>
    <row r="12" spans="1:16" ht="61.5" customHeight="1" x14ac:dyDescent="0.35">
      <c r="A12" s="3" t="s">
        <v>14</v>
      </c>
      <c r="B12" s="3" t="s">
        <v>2</v>
      </c>
      <c r="C12" s="3" t="s">
        <v>15</v>
      </c>
      <c r="D12" s="3" t="s">
        <v>344</v>
      </c>
      <c r="E12" s="3" t="s">
        <v>61</v>
      </c>
      <c r="F12" s="9">
        <v>46268</v>
      </c>
      <c r="G12" s="3" t="s">
        <v>49</v>
      </c>
      <c r="H12" s="10">
        <v>180000000</v>
      </c>
      <c r="I12" s="3" t="s">
        <v>50</v>
      </c>
      <c r="J12" s="3" t="s">
        <v>70</v>
      </c>
      <c r="K12" s="3" t="s">
        <v>71</v>
      </c>
      <c r="L12" s="10">
        <v>1200000000</v>
      </c>
      <c r="M12" s="10">
        <v>120000000</v>
      </c>
      <c r="N12" s="15">
        <f t="shared" si="0"/>
        <v>0.1</v>
      </c>
      <c r="O12" s="16">
        <f t="shared" si="1"/>
        <v>300000000</v>
      </c>
      <c r="P12" s="10">
        <v>77419</v>
      </c>
    </row>
    <row r="13" spans="1:16" ht="61.5" customHeight="1" x14ac:dyDescent="0.35">
      <c r="A13" s="4" t="s">
        <v>14</v>
      </c>
      <c r="B13" s="4" t="s">
        <v>2</v>
      </c>
      <c r="C13" s="4" t="s">
        <v>15</v>
      </c>
      <c r="D13" s="4" t="s">
        <v>345</v>
      </c>
      <c r="E13" s="4" t="s">
        <v>61</v>
      </c>
      <c r="F13" s="11">
        <v>46269</v>
      </c>
      <c r="G13" s="4" t="s">
        <v>49</v>
      </c>
      <c r="H13" s="12">
        <v>750000000</v>
      </c>
      <c r="I13" s="4" t="s">
        <v>50</v>
      </c>
      <c r="J13" s="4" t="s">
        <v>72</v>
      </c>
      <c r="K13" s="4" t="s">
        <v>73</v>
      </c>
      <c r="L13" s="12">
        <v>1000000000</v>
      </c>
      <c r="M13" s="12">
        <v>250000000</v>
      </c>
      <c r="N13" s="17">
        <f t="shared" si="0"/>
        <v>0.25</v>
      </c>
      <c r="O13" s="18">
        <f t="shared" si="1"/>
        <v>1000000000</v>
      </c>
      <c r="P13" s="12">
        <v>238469</v>
      </c>
    </row>
    <row r="14" spans="1:16" ht="61.5" customHeight="1" x14ac:dyDescent="0.35">
      <c r="A14" s="3" t="s">
        <v>14</v>
      </c>
      <c r="B14" s="3" t="s">
        <v>2</v>
      </c>
      <c r="C14" s="3" t="s">
        <v>19</v>
      </c>
      <c r="D14" s="3" t="s">
        <v>22</v>
      </c>
      <c r="E14" s="3" t="s">
        <v>61</v>
      </c>
      <c r="F14" s="9">
        <v>46272</v>
      </c>
      <c r="G14" s="3" t="s">
        <v>64</v>
      </c>
      <c r="H14" s="10">
        <v>250000000</v>
      </c>
      <c r="I14" s="3" t="s">
        <v>55</v>
      </c>
      <c r="J14" s="3" t="s">
        <v>74</v>
      </c>
      <c r="K14" s="3" t="s">
        <v>75</v>
      </c>
      <c r="L14" s="10">
        <v>850000000</v>
      </c>
      <c r="M14" s="10">
        <v>780000000</v>
      </c>
      <c r="N14" s="15">
        <f t="shared" si="0"/>
        <v>0.91764705882352937</v>
      </c>
      <c r="O14" s="16">
        <f t="shared" si="1"/>
        <v>530000000</v>
      </c>
      <c r="P14" s="10">
        <v>184308</v>
      </c>
    </row>
    <row r="15" spans="1:16" ht="61.5" customHeight="1" x14ac:dyDescent="0.35">
      <c r="A15" s="4" t="s">
        <v>14</v>
      </c>
      <c r="B15" s="4" t="s">
        <v>2</v>
      </c>
      <c r="C15" s="4" t="s">
        <v>19</v>
      </c>
      <c r="D15" s="4" t="s">
        <v>346</v>
      </c>
      <c r="E15" s="4" t="s">
        <v>61</v>
      </c>
      <c r="F15" s="11">
        <v>46274</v>
      </c>
      <c r="G15" s="4" t="s">
        <v>64</v>
      </c>
      <c r="H15" s="12">
        <v>160000000</v>
      </c>
      <c r="I15" s="4" t="s">
        <v>50</v>
      </c>
      <c r="J15" s="4" t="s">
        <v>76</v>
      </c>
      <c r="K15" s="4" t="s">
        <v>77</v>
      </c>
      <c r="L15" s="12">
        <v>800000000</v>
      </c>
      <c r="M15" s="12">
        <v>960000000</v>
      </c>
      <c r="N15" s="17">
        <f t="shared" si="0"/>
        <v>1.2</v>
      </c>
      <c r="O15" s="18">
        <f t="shared" si="1"/>
        <v>800000000</v>
      </c>
      <c r="P15" s="12">
        <v>69108</v>
      </c>
    </row>
    <row r="16" spans="1:16" ht="61.5" customHeight="1" x14ac:dyDescent="0.35">
      <c r="A16" s="3" t="s">
        <v>14</v>
      </c>
      <c r="B16" s="3" t="s">
        <v>2</v>
      </c>
      <c r="C16" s="3" t="s">
        <v>33</v>
      </c>
      <c r="D16" s="3" t="s">
        <v>347</v>
      </c>
      <c r="E16" s="3" t="s">
        <v>61</v>
      </c>
      <c r="F16" s="9">
        <v>46266</v>
      </c>
      <c r="G16" s="3" t="s">
        <v>57</v>
      </c>
      <c r="H16" s="3">
        <v>0</v>
      </c>
      <c r="I16" s="3" t="s">
        <v>58</v>
      </c>
      <c r="J16" s="3" t="s">
        <v>59</v>
      </c>
      <c r="K16" s="3" t="s">
        <v>78</v>
      </c>
      <c r="L16" s="10">
        <v>650000000</v>
      </c>
      <c r="M16" s="3" t="s">
        <v>61</v>
      </c>
      <c r="N16" s="15" t="str">
        <f t="shared" si="0"/>
        <v>No aplica</v>
      </c>
      <c r="O16" s="16" t="str">
        <f t="shared" si="1"/>
        <v>No aplica</v>
      </c>
      <c r="P16" s="3" t="s">
        <v>61</v>
      </c>
    </row>
  </sheetData>
  <autoFilter ref="A2:P16" xr:uid="{00000000-0009-0000-0000-000002000000}"/>
  <mergeCells count="1">
    <mergeCell ref="A1:P1"/>
  </mergeCells>
  <dataValidations count="4">
    <dataValidation type="list" allowBlank="1" sqref="B3:B1016" xr:uid="{00000000-0002-0000-0200-000000000000}">
      <formula1>"M1,M2,M3"</formula1>
      <formula2>0</formula2>
    </dataValidation>
    <dataValidation type="list" allowBlank="1" sqref="E3:E1016" xr:uid="{00000000-0002-0000-0200-000001000000}">
      <formula1>"TDV,Sucursal,No aplica"</formula1>
      <formula2>0</formula2>
    </dataValidation>
    <dataValidation type="list" allowBlank="1" sqref="G3:G1016" xr:uid="{00000000-0002-0000-0200-000002000000}">
      <formula1>"provision,recoleccion,sin_accion"</formula1>
      <formula2>0</formula2>
    </dataValidation>
    <dataValidation type="list" allowBlank="1" sqref="I3:I1016" xr:uid="{00000000-0002-0000-0200-000003000000}">
      <formula1>"alto,medio,bajo"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DDA24"/>
    <pageSetUpPr fitToPage="1"/>
  </sheetPr>
  <dimension ref="A1:L20"/>
  <sheetViews>
    <sheetView showGridLines="0" zoomScaleNormal="100" workbookViewId="0">
      <pane ySplit="2" topLeftCell="A16" activePane="bottomLeft" state="frozen"/>
      <selection pane="bottomLeft" activeCell="E16" sqref="E16"/>
    </sheetView>
  </sheetViews>
  <sheetFormatPr baseColWidth="10" defaultColWidth="8.7265625" defaultRowHeight="15" customHeight="1" x14ac:dyDescent="0.35"/>
  <cols>
    <col min="1" max="1" width="17" customWidth="1"/>
    <col min="2" max="2" width="8" customWidth="1"/>
    <col min="3" max="3" width="26" customWidth="1"/>
    <col min="4" max="4" width="12" customWidth="1"/>
    <col min="5" max="5" width="36" customWidth="1"/>
    <col min="6" max="6" width="15" customWidth="1"/>
    <col min="7" max="7" width="16" customWidth="1"/>
    <col min="8" max="8" width="22" customWidth="1"/>
    <col min="9" max="10" width="13" customWidth="1"/>
    <col min="11" max="11" width="34" customWidth="1"/>
    <col min="12" max="12" width="48" customWidth="1"/>
  </cols>
  <sheetData>
    <row r="1" spans="1:12" ht="26" customHeight="1" x14ac:dyDescent="0.35">
      <c r="A1" s="21" t="s">
        <v>323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39.75" customHeight="1" x14ac:dyDescent="0.35">
      <c r="A2" s="1" t="s">
        <v>4</v>
      </c>
      <c r="B2" s="1" t="s">
        <v>5</v>
      </c>
      <c r="C2" s="1" t="s">
        <v>79</v>
      </c>
      <c r="D2" s="1" t="s">
        <v>80</v>
      </c>
      <c r="E2" s="1" t="s">
        <v>81</v>
      </c>
      <c r="F2" s="1" t="s">
        <v>82</v>
      </c>
      <c r="G2" s="1" t="s">
        <v>83</v>
      </c>
      <c r="H2" s="1" t="s">
        <v>84</v>
      </c>
      <c r="I2" s="1" t="s">
        <v>85</v>
      </c>
      <c r="J2" s="1" t="s">
        <v>86</v>
      </c>
      <c r="K2" s="1" t="s">
        <v>87</v>
      </c>
      <c r="L2" s="1" t="s">
        <v>88</v>
      </c>
    </row>
    <row r="3" spans="1:12" ht="25.5" hidden="1" thickTop="1" x14ac:dyDescent="0.35">
      <c r="A3" s="2" t="s">
        <v>14</v>
      </c>
      <c r="B3" s="2" t="s">
        <v>0</v>
      </c>
      <c r="C3" s="2" t="s">
        <v>17</v>
      </c>
      <c r="D3" s="2" t="s">
        <v>89</v>
      </c>
      <c r="E3" s="2" t="s">
        <v>90</v>
      </c>
      <c r="F3" s="13">
        <v>0.09</v>
      </c>
      <c r="G3" s="2" t="s">
        <v>91</v>
      </c>
      <c r="H3" s="2" t="s">
        <v>92</v>
      </c>
      <c r="I3" s="7">
        <v>46204</v>
      </c>
      <c r="J3" s="7">
        <v>46249</v>
      </c>
      <c r="K3" s="2" t="s">
        <v>93</v>
      </c>
      <c r="L3" s="2" t="s">
        <v>94</v>
      </c>
    </row>
    <row r="4" spans="1:12" ht="25" hidden="1" x14ac:dyDescent="0.35">
      <c r="A4" s="3" t="s">
        <v>14</v>
      </c>
      <c r="B4" s="3" t="s">
        <v>0</v>
      </c>
      <c r="C4" s="3" t="s">
        <v>17</v>
      </c>
      <c r="D4" s="3" t="s">
        <v>89</v>
      </c>
      <c r="E4" s="3" t="s">
        <v>95</v>
      </c>
      <c r="F4" s="10">
        <v>9000000</v>
      </c>
      <c r="G4" s="3" t="s">
        <v>96</v>
      </c>
      <c r="H4" s="3" t="s">
        <v>92</v>
      </c>
      <c r="I4" s="9">
        <v>46204</v>
      </c>
      <c r="J4" s="9">
        <v>46249</v>
      </c>
      <c r="K4" s="3" t="s">
        <v>93</v>
      </c>
      <c r="L4" s="3"/>
    </row>
    <row r="5" spans="1:12" ht="25" hidden="1" x14ac:dyDescent="0.35">
      <c r="A5" s="4" t="s">
        <v>14</v>
      </c>
      <c r="B5" s="4" t="s">
        <v>0</v>
      </c>
      <c r="C5" s="4" t="s">
        <v>17</v>
      </c>
      <c r="D5" s="4" t="s">
        <v>89</v>
      </c>
      <c r="E5" s="4" t="s">
        <v>97</v>
      </c>
      <c r="F5" s="17">
        <v>-2.5000000000000001E-2</v>
      </c>
      <c r="G5" s="4" t="s">
        <v>91</v>
      </c>
      <c r="H5" s="4" t="s">
        <v>92</v>
      </c>
      <c r="I5" s="11">
        <v>46204</v>
      </c>
      <c r="J5" s="11">
        <v>46249</v>
      </c>
      <c r="K5" s="4" t="s">
        <v>93</v>
      </c>
      <c r="L5" s="4"/>
    </row>
    <row r="6" spans="1:12" ht="25" hidden="1" x14ac:dyDescent="0.35">
      <c r="A6" s="3" t="s">
        <v>14</v>
      </c>
      <c r="B6" s="3" t="s">
        <v>0</v>
      </c>
      <c r="C6" s="3" t="s">
        <v>17</v>
      </c>
      <c r="D6" s="3" t="s">
        <v>89</v>
      </c>
      <c r="E6" s="3" t="s">
        <v>90</v>
      </c>
      <c r="F6" s="15">
        <v>8.5000000000000006E-2</v>
      </c>
      <c r="G6" s="3" t="s">
        <v>91</v>
      </c>
      <c r="H6" s="3" t="s">
        <v>15</v>
      </c>
      <c r="I6" s="9">
        <v>46204</v>
      </c>
      <c r="J6" s="9">
        <v>46249</v>
      </c>
      <c r="K6" s="3" t="s">
        <v>93</v>
      </c>
      <c r="L6" s="3" t="s">
        <v>98</v>
      </c>
    </row>
    <row r="7" spans="1:12" ht="25" hidden="1" x14ac:dyDescent="0.35">
      <c r="A7" s="4" t="s">
        <v>14</v>
      </c>
      <c r="B7" s="4" t="s">
        <v>1</v>
      </c>
      <c r="C7" s="4" t="s">
        <v>17</v>
      </c>
      <c r="D7" s="4" t="s">
        <v>89</v>
      </c>
      <c r="E7" s="4" t="s">
        <v>90</v>
      </c>
      <c r="F7" s="17">
        <v>9.9000000000000005E-2</v>
      </c>
      <c r="G7" s="4" t="s">
        <v>91</v>
      </c>
      <c r="H7" s="4" t="s">
        <v>92</v>
      </c>
      <c r="I7" s="11">
        <v>46204</v>
      </c>
      <c r="J7" s="11">
        <v>46249</v>
      </c>
      <c r="K7" s="4" t="s">
        <v>93</v>
      </c>
      <c r="L7" s="4"/>
    </row>
    <row r="8" spans="1:12" ht="25" hidden="1" x14ac:dyDescent="0.35">
      <c r="A8" s="3" t="s">
        <v>14</v>
      </c>
      <c r="B8" s="3" t="s">
        <v>1</v>
      </c>
      <c r="C8" s="3" t="s">
        <v>21</v>
      </c>
      <c r="D8" s="3" t="s">
        <v>89</v>
      </c>
      <c r="E8" s="3" t="s">
        <v>90</v>
      </c>
      <c r="F8" s="15">
        <v>0.108</v>
      </c>
      <c r="G8" s="3" t="s">
        <v>91</v>
      </c>
      <c r="H8" s="3" t="s">
        <v>92</v>
      </c>
      <c r="I8" s="9">
        <v>46204</v>
      </c>
      <c r="J8" s="9">
        <v>46249</v>
      </c>
      <c r="K8" s="3" t="s">
        <v>93</v>
      </c>
      <c r="L8" s="3"/>
    </row>
    <row r="9" spans="1:12" ht="25" hidden="1" x14ac:dyDescent="0.35">
      <c r="A9" s="4" t="s">
        <v>14</v>
      </c>
      <c r="B9" s="4" t="s">
        <v>2</v>
      </c>
      <c r="C9" s="4" t="s">
        <v>23</v>
      </c>
      <c r="D9" s="4" t="s">
        <v>89</v>
      </c>
      <c r="E9" s="4" t="s">
        <v>90</v>
      </c>
      <c r="F9" s="17">
        <v>0.11700000000000001</v>
      </c>
      <c r="G9" s="4" t="s">
        <v>91</v>
      </c>
      <c r="H9" s="4" t="s">
        <v>92</v>
      </c>
      <c r="I9" s="11">
        <v>46204</v>
      </c>
      <c r="J9" s="11">
        <v>46249</v>
      </c>
      <c r="K9" s="4" t="s">
        <v>93</v>
      </c>
      <c r="L9" s="4"/>
    </row>
    <row r="10" spans="1:12" ht="25" hidden="1" x14ac:dyDescent="0.35">
      <c r="A10" s="3" t="s">
        <v>14</v>
      </c>
      <c r="B10" s="3" t="s">
        <v>2</v>
      </c>
      <c r="C10" s="3" t="s">
        <v>24</v>
      </c>
      <c r="D10" s="3" t="s">
        <v>89</v>
      </c>
      <c r="E10" s="3" t="s">
        <v>90</v>
      </c>
      <c r="F10" s="15">
        <v>0.126</v>
      </c>
      <c r="G10" s="3" t="s">
        <v>91</v>
      </c>
      <c r="H10" s="3" t="s">
        <v>92</v>
      </c>
      <c r="I10" s="9">
        <v>46204</v>
      </c>
      <c r="J10" s="9">
        <v>46249</v>
      </c>
      <c r="K10" s="3" t="s">
        <v>93</v>
      </c>
      <c r="L10" s="3"/>
    </row>
    <row r="11" spans="1:12" ht="25" hidden="1" x14ac:dyDescent="0.35">
      <c r="A11" s="4" t="s">
        <v>14</v>
      </c>
      <c r="B11" s="4" t="s">
        <v>25</v>
      </c>
      <c r="C11" s="4" t="s">
        <v>27</v>
      </c>
      <c r="D11" s="4" t="s">
        <v>89</v>
      </c>
      <c r="E11" s="4" t="s">
        <v>90</v>
      </c>
      <c r="F11" s="17">
        <v>0.14399999999999999</v>
      </c>
      <c r="G11" s="4" t="s">
        <v>91</v>
      </c>
      <c r="H11" s="4" t="s">
        <v>26</v>
      </c>
      <c r="I11" s="11">
        <v>46204</v>
      </c>
      <c r="J11" s="11">
        <v>46249</v>
      </c>
      <c r="K11" s="4" t="s">
        <v>93</v>
      </c>
      <c r="L11" s="4" t="s">
        <v>99</v>
      </c>
    </row>
    <row r="12" spans="1:12" ht="25" hidden="1" x14ac:dyDescent="0.35">
      <c r="A12" s="3" t="s">
        <v>14</v>
      </c>
      <c r="B12" s="3" t="s">
        <v>30</v>
      </c>
      <c r="C12" s="3" t="s">
        <v>32</v>
      </c>
      <c r="D12" s="3" t="s">
        <v>89</v>
      </c>
      <c r="E12" s="3" t="s">
        <v>90</v>
      </c>
      <c r="F12" s="15">
        <v>0.152</v>
      </c>
      <c r="G12" s="3" t="s">
        <v>91</v>
      </c>
      <c r="H12" s="3" t="s">
        <v>92</v>
      </c>
      <c r="I12" s="9">
        <v>46204</v>
      </c>
      <c r="J12" s="9">
        <v>46249</v>
      </c>
      <c r="K12" s="3" t="s">
        <v>93</v>
      </c>
      <c r="L12" s="3" t="s">
        <v>99</v>
      </c>
    </row>
    <row r="13" spans="1:12" ht="25" hidden="1" x14ac:dyDescent="0.35">
      <c r="A13" s="4" t="s">
        <v>14</v>
      </c>
      <c r="B13" s="4" t="s">
        <v>0</v>
      </c>
      <c r="C13" s="4" t="s">
        <v>100</v>
      </c>
      <c r="D13" s="4" t="s">
        <v>101</v>
      </c>
      <c r="E13" s="4" t="s">
        <v>102</v>
      </c>
      <c r="F13" s="17">
        <v>2E-3</v>
      </c>
      <c r="G13" s="4" t="s">
        <v>91</v>
      </c>
      <c r="H13" s="4" t="s">
        <v>92</v>
      </c>
      <c r="I13" s="11">
        <v>46204</v>
      </c>
      <c r="J13" s="11">
        <v>46249</v>
      </c>
      <c r="K13" s="4" t="s">
        <v>103</v>
      </c>
      <c r="L13" s="4" t="s">
        <v>104</v>
      </c>
    </row>
    <row r="14" spans="1:12" ht="25" hidden="1" x14ac:dyDescent="0.35">
      <c r="A14" s="3" t="s">
        <v>14</v>
      </c>
      <c r="B14" s="3" t="s">
        <v>0</v>
      </c>
      <c r="C14" s="3" t="s">
        <v>105</v>
      </c>
      <c r="D14" s="3" t="s">
        <v>101</v>
      </c>
      <c r="E14" s="3" t="s">
        <v>106</v>
      </c>
      <c r="F14" s="15">
        <v>0.17</v>
      </c>
      <c r="G14" s="3" t="s">
        <v>107</v>
      </c>
      <c r="H14" s="3" t="s">
        <v>92</v>
      </c>
      <c r="I14" s="9">
        <v>46204</v>
      </c>
      <c r="J14" s="9">
        <v>46249</v>
      </c>
      <c r="K14" s="3" t="s">
        <v>103</v>
      </c>
      <c r="L14" s="3" t="s">
        <v>108</v>
      </c>
    </row>
    <row r="15" spans="1:12" ht="25" hidden="1" x14ac:dyDescent="0.35">
      <c r="A15" s="4" t="s">
        <v>14</v>
      </c>
      <c r="B15" s="4" t="s">
        <v>0</v>
      </c>
      <c r="C15" s="4" t="s">
        <v>109</v>
      </c>
      <c r="D15" s="4" t="s">
        <v>110</v>
      </c>
      <c r="E15" s="4" t="s">
        <v>111</v>
      </c>
      <c r="F15" s="12">
        <v>185000000</v>
      </c>
      <c r="G15" s="4" t="s">
        <v>96</v>
      </c>
      <c r="H15" s="4" t="s">
        <v>92</v>
      </c>
      <c r="I15" s="11">
        <v>46204</v>
      </c>
      <c r="J15" s="11">
        <v>46249</v>
      </c>
      <c r="K15" s="4" t="s">
        <v>112</v>
      </c>
      <c r="L15" s="4" t="s">
        <v>113</v>
      </c>
    </row>
    <row r="16" spans="1:12" ht="25" x14ac:dyDescent="0.35">
      <c r="A16" s="3" t="s">
        <v>14</v>
      </c>
      <c r="B16" s="3" t="s">
        <v>3</v>
      </c>
      <c r="C16" s="3" t="s">
        <v>114</v>
      </c>
      <c r="D16" s="3" t="s">
        <v>101</v>
      </c>
      <c r="E16" s="3" t="s">
        <v>349</v>
      </c>
      <c r="F16" s="15">
        <v>0.99399999999999999</v>
      </c>
      <c r="G16" s="3" t="s">
        <v>91</v>
      </c>
      <c r="H16" s="3" t="s">
        <v>92</v>
      </c>
      <c r="I16" s="9">
        <v>46204</v>
      </c>
      <c r="J16" s="9">
        <v>46249</v>
      </c>
      <c r="K16" s="3" t="s">
        <v>115</v>
      </c>
      <c r="L16" s="3" t="s">
        <v>116</v>
      </c>
    </row>
    <row r="17" spans="1:12" ht="25" x14ac:dyDescent="0.35">
      <c r="A17" s="3" t="s">
        <v>14</v>
      </c>
      <c r="B17" s="3" t="s">
        <v>3</v>
      </c>
      <c r="C17" s="3" t="s">
        <v>109</v>
      </c>
      <c r="D17" s="3" t="s">
        <v>110</v>
      </c>
      <c r="E17" s="3" t="s">
        <v>117</v>
      </c>
      <c r="F17" s="10">
        <v>95000000</v>
      </c>
      <c r="G17" s="3" t="s">
        <v>96</v>
      </c>
      <c r="H17" s="3" t="s">
        <v>92</v>
      </c>
      <c r="I17" s="9">
        <v>46204</v>
      </c>
      <c r="J17" s="9">
        <v>46249</v>
      </c>
      <c r="K17" s="3" t="s">
        <v>112</v>
      </c>
      <c r="L17" s="3" t="s">
        <v>118</v>
      </c>
    </row>
    <row r="18" spans="1:12" ht="15" hidden="1" customHeight="1" x14ac:dyDescent="0.35">
      <c r="A18" s="4" t="s">
        <v>14</v>
      </c>
      <c r="B18" s="4" t="s">
        <v>0</v>
      </c>
      <c r="C18" s="4" t="s">
        <v>17</v>
      </c>
      <c r="D18" s="4" t="s">
        <v>89</v>
      </c>
      <c r="E18" s="4" t="s">
        <v>90</v>
      </c>
      <c r="F18" s="17">
        <v>8.7999999999999995E-2</v>
      </c>
      <c r="G18" s="4" t="s">
        <v>91</v>
      </c>
      <c r="H18" s="4" t="s">
        <v>303</v>
      </c>
      <c r="I18" s="11">
        <v>46204</v>
      </c>
      <c r="J18" s="11">
        <v>46249</v>
      </c>
      <c r="K18" s="4" t="s">
        <v>93</v>
      </c>
      <c r="L18" s="4" t="s">
        <v>304</v>
      </c>
    </row>
    <row r="19" spans="1:12" ht="15" hidden="1" customHeight="1" x14ac:dyDescent="0.35">
      <c r="A19" s="3" t="s">
        <v>14</v>
      </c>
      <c r="B19" s="3" t="s">
        <v>0</v>
      </c>
      <c r="C19" s="3" t="s">
        <v>17</v>
      </c>
      <c r="D19" s="3" t="s">
        <v>89</v>
      </c>
      <c r="E19" s="3" t="s">
        <v>90</v>
      </c>
      <c r="F19" s="15">
        <v>9.2999999999999999E-2</v>
      </c>
      <c r="G19" s="3" t="s">
        <v>91</v>
      </c>
      <c r="H19" s="3" t="s">
        <v>305</v>
      </c>
      <c r="I19" s="9">
        <v>46204</v>
      </c>
      <c r="J19" s="9">
        <v>46249</v>
      </c>
      <c r="K19" s="3" t="s">
        <v>93</v>
      </c>
      <c r="L19" s="3" t="s">
        <v>306</v>
      </c>
    </row>
    <row r="20" spans="1:12" ht="15" hidden="1" customHeight="1" x14ac:dyDescent="0.35">
      <c r="A20" s="4" t="s">
        <v>14</v>
      </c>
      <c r="B20" s="4" t="s">
        <v>25</v>
      </c>
      <c r="C20" s="4" t="s">
        <v>27</v>
      </c>
      <c r="D20" s="4" t="s">
        <v>89</v>
      </c>
      <c r="E20" s="4" t="s">
        <v>90</v>
      </c>
      <c r="F20" s="17">
        <v>0.13900000000000001</v>
      </c>
      <c r="G20" s="4" t="s">
        <v>91</v>
      </c>
      <c r="H20" s="4" t="s">
        <v>15</v>
      </c>
      <c r="I20" s="11">
        <v>46204</v>
      </c>
      <c r="J20" s="11">
        <v>46249</v>
      </c>
      <c r="K20" s="4" t="s">
        <v>93</v>
      </c>
      <c r="L20" s="4" t="s">
        <v>307</v>
      </c>
    </row>
  </sheetData>
  <autoFilter ref="A2:L20" xr:uid="{00000000-0001-0000-0300-000000000000}">
    <filterColumn colId="1">
      <filters>
        <filter val="M6"/>
      </filters>
    </filterColumn>
  </autoFilter>
  <mergeCells count="1">
    <mergeCell ref="A1:L1"/>
  </mergeCells>
  <dataValidations count="1">
    <dataValidation type="list" allowBlank="1" sqref="D3:D1017" xr:uid="{00000000-0002-0000-0300-000000000000}">
      <formula1>"predictiva,operativa,costo"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DDA24"/>
    <pageSetUpPr fitToPage="1"/>
  </sheetPr>
  <dimension ref="A1:M10"/>
  <sheetViews>
    <sheetView showGridLines="0" topLeftCell="D1" zoomScaleNormal="100" workbookViewId="0">
      <pane ySplit="2" topLeftCell="A3" activePane="bottomLeft" state="frozen"/>
      <selection pane="bottomLeft" activeCell="D10" sqref="D10"/>
    </sheetView>
  </sheetViews>
  <sheetFormatPr baseColWidth="10" defaultColWidth="8.7265625" defaultRowHeight="15" customHeight="1" x14ac:dyDescent="0.35"/>
  <cols>
    <col min="1" max="1" width="17" customWidth="1"/>
    <col min="2" max="2" width="8" customWidth="1"/>
    <col min="3" max="3" width="22" customWidth="1"/>
    <col min="4" max="4" width="38" customWidth="1"/>
    <col min="5" max="5" width="24" customWidth="1"/>
    <col min="6" max="6" width="40" customWidth="1"/>
    <col min="7" max="7" width="30" customWidth="1"/>
    <col min="8" max="8" width="22" customWidth="1"/>
    <col min="9" max="9" width="26.54296875" bestFit="1" customWidth="1"/>
    <col min="10" max="10" width="42" customWidth="1"/>
    <col min="11" max="11" width="48" customWidth="1"/>
    <col min="12" max="12" width="22" customWidth="1"/>
    <col min="13" max="13" width="38" customWidth="1"/>
  </cols>
  <sheetData>
    <row r="1" spans="1:13" ht="26" customHeight="1" x14ac:dyDescent="0.35">
      <c r="A1" s="21" t="s">
        <v>324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39.75" customHeight="1" thickBot="1" x14ac:dyDescent="0.4">
      <c r="A2" s="1" t="s">
        <v>4</v>
      </c>
      <c r="B2" s="1" t="s">
        <v>5</v>
      </c>
      <c r="C2" s="1" t="s">
        <v>119</v>
      </c>
      <c r="D2" s="1" t="s">
        <v>120</v>
      </c>
      <c r="E2" s="1" t="s">
        <v>121</v>
      </c>
      <c r="F2" s="1" t="s">
        <v>122</v>
      </c>
      <c r="G2" s="1" t="s">
        <v>123</v>
      </c>
      <c r="H2" s="1" t="s">
        <v>124</v>
      </c>
      <c r="I2" s="1" t="s">
        <v>87</v>
      </c>
      <c r="J2" s="20" t="s">
        <v>125</v>
      </c>
      <c r="K2" s="1" t="s">
        <v>126</v>
      </c>
      <c r="L2" s="1" t="s">
        <v>127</v>
      </c>
      <c r="M2" s="1" t="s">
        <v>128</v>
      </c>
    </row>
    <row r="3" spans="1:13" ht="75" customHeight="1" thickTop="1" x14ac:dyDescent="0.35">
      <c r="A3" s="2" t="s">
        <v>14</v>
      </c>
      <c r="B3" s="2" t="s">
        <v>0</v>
      </c>
      <c r="C3" s="2" t="s">
        <v>17</v>
      </c>
      <c r="D3" s="2" t="s">
        <v>129</v>
      </c>
      <c r="E3" s="2" t="s">
        <v>130</v>
      </c>
      <c r="F3" s="2" t="s">
        <v>309</v>
      </c>
      <c r="G3" s="2" t="s">
        <v>131</v>
      </c>
      <c r="H3" s="2" t="s">
        <v>132</v>
      </c>
      <c r="I3" s="2" t="s">
        <v>93</v>
      </c>
      <c r="J3" s="2" t="s">
        <v>133</v>
      </c>
      <c r="K3" s="2" t="s">
        <v>308</v>
      </c>
      <c r="L3" s="2" t="s">
        <v>134</v>
      </c>
      <c r="M3" s="2" t="s">
        <v>135</v>
      </c>
    </row>
    <row r="4" spans="1:13" ht="75" customHeight="1" x14ac:dyDescent="0.35">
      <c r="A4" s="3" t="s">
        <v>14</v>
      </c>
      <c r="B4" s="3" t="s">
        <v>1</v>
      </c>
      <c r="C4" s="3" t="s">
        <v>17</v>
      </c>
      <c r="D4" s="3" t="s">
        <v>136</v>
      </c>
      <c r="E4" s="3" t="s">
        <v>137</v>
      </c>
      <c r="F4" s="3" t="s">
        <v>138</v>
      </c>
      <c r="G4" s="3" t="s">
        <v>139</v>
      </c>
      <c r="H4" s="3" t="s">
        <v>140</v>
      </c>
      <c r="I4" s="3" t="s">
        <v>93</v>
      </c>
      <c r="J4" s="3" t="s">
        <v>141</v>
      </c>
      <c r="K4" s="3" t="s">
        <v>308</v>
      </c>
      <c r="L4" s="3" t="s">
        <v>142</v>
      </c>
      <c r="M4" s="3" t="s">
        <v>143</v>
      </c>
    </row>
    <row r="5" spans="1:13" ht="75" customHeight="1" x14ac:dyDescent="0.35">
      <c r="A5" s="4" t="s">
        <v>14</v>
      </c>
      <c r="B5" s="4" t="s">
        <v>1</v>
      </c>
      <c r="C5" s="4" t="s">
        <v>21</v>
      </c>
      <c r="D5" s="4" t="s">
        <v>144</v>
      </c>
      <c r="E5" s="4" t="s">
        <v>137</v>
      </c>
      <c r="F5" s="4" t="s">
        <v>145</v>
      </c>
      <c r="G5" s="4" t="s">
        <v>146</v>
      </c>
      <c r="H5" s="4" t="s">
        <v>140</v>
      </c>
      <c r="I5" s="4" t="s">
        <v>93</v>
      </c>
      <c r="J5" s="4" t="s">
        <v>147</v>
      </c>
      <c r="K5" s="4" t="s">
        <v>308</v>
      </c>
      <c r="L5" s="4" t="s">
        <v>142</v>
      </c>
      <c r="M5" s="4" t="s">
        <v>148</v>
      </c>
    </row>
    <row r="6" spans="1:13" ht="75" customHeight="1" x14ac:dyDescent="0.35">
      <c r="A6" s="3" t="s">
        <v>14</v>
      </c>
      <c r="B6" s="3" t="s">
        <v>2</v>
      </c>
      <c r="C6" s="3" t="s">
        <v>23</v>
      </c>
      <c r="D6" s="3" t="s">
        <v>149</v>
      </c>
      <c r="E6" s="3" t="s">
        <v>150</v>
      </c>
      <c r="F6" s="3" t="s">
        <v>151</v>
      </c>
      <c r="G6" s="3" t="s">
        <v>152</v>
      </c>
      <c r="H6" s="3" t="s">
        <v>140</v>
      </c>
      <c r="I6" s="3" t="s">
        <v>93</v>
      </c>
      <c r="J6" s="3" t="s">
        <v>153</v>
      </c>
      <c r="K6" s="3" t="s">
        <v>154</v>
      </c>
      <c r="L6" s="3" t="s">
        <v>142</v>
      </c>
      <c r="M6" s="3" t="s">
        <v>155</v>
      </c>
    </row>
    <row r="7" spans="1:13" ht="75" customHeight="1" x14ac:dyDescent="0.35">
      <c r="A7" s="4" t="s">
        <v>14</v>
      </c>
      <c r="B7" s="4" t="s">
        <v>2</v>
      </c>
      <c r="C7" s="4" t="s">
        <v>24</v>
      </c>
      <c r="D7" s="4" t="s">
        <v>156</v>
      </c>
      <c r="E7" s="4" t="s">
        <v>150</v>
      </c>
      <c r="F7" s="4" t="s">
        <v>157</v>
      </c>
      <c r="G7" s="4" t="s">
        <v>158</v>
      </c>
      <c r="H7" s="4" t="s">
        <v>140</v>
      </c>
      <c r="I7" s="4" t="s">
        <v>93</v>
      </c>
      <c r="J7" s="4" t="s">
        <v>159</v>
      </c>
      <c r="K7" s="4" t="s">
        <v>154</v>
      </c>
      <c r="L7" s="4" t="s">
        <v>142</v>
      </c>
      <c r="M7" s="4" t="s">
        <v>155</v>
      </c>
    </row>
    <row r="8" spans="1:13" ht="75" customHeight="1" x14ac:dyDescent="0.35">
      <c r="A8" s="3" t="s">
        <v>14</v>
      </c>
      <c r="B8" s="3" t="s">
        <v>25</v>
      </c>
      <c r="C8" s="3" t="s">
        <v>27</v>
      </c>
      <c r="D8" s="3" t="s">
        <v>160</v>
      </c>
      <c r="E8" s="3" t="s">
        <v>161</v>
      </c>
      <c r="F8" s="3" t="s">
        <v>162</v>
      </c>
      <c r="G8" s="3" t="s">
        <v>163</v>
      </c>
      <c r="H8" s="3" t="s">
        <v>140</v>
      </c>
      <c r="I8" s="3" t="s">
        <v>93</v>
      </c>
      <c r="J8" s="3" t="s">
        <v>164</v>
      </c>
      <c r="K8" s="3" t="s">
        <v>165</v>
      </c>
      <c r="L8" s="3" t="s">
        <v>142</v>
      </c>
      <c r="M8" s="3" t="s">
        <v>166</v>
      </c>
    </row>
    <row r="9" spans="1:13" ht="75" customHeight="1" x14ac:dyDescent="0.35">
      <c r="A9" s="4" t="s">
        <v>14</v>
      </c>
      <c r="B9" s="4" t="s">
        <v>30</v>
      </c>
      <c r="C9" s="4" t="s">
        <v>32</v>
      </c>
      <c r="D9" s="4" t="s">
        <v>167</v>
      </c>
      <c r="E9" s="4" t="s">
        <v>168</v>
      </c>
      <c r="F9" s="4" t="s">
        <v>162</v>
      </c>
      <c r="G9" s="4" t="s">
        <v>169</v>
      </c>
      <c r="H9" s="4" t="s">
        <v>140</v>
      </c>
      <c r="I9" s="4" t="s">
        <v>93</v>
      </c>
      <c r="J9" s="4" t="s">
        <v>164</v>
      </c>
      <c r="K9" s="4" t="s">
        <v>170</v>
      </c>
      <c r="L9" s="4" t="s">
        <v>142</v>
      </c>
      <c r="M9" s="4" t="s">
        <v>166</v>
      </c>
    </row>
    <row r="10" spans="1:13" ht="75" customHeight="1" x14ac:dyDescent="0.35">
      <c r="A10" s="3" t="s">
        <v>14</v>
      </c>
      <c r="B10" s="3" t="s">
        <v>3</v>
      </c>
      <c r="C10" s="3" t="s">
        <v>171</v>
      </c>
      <c r="D10" s="3" t="s">
        <v>172</v>
      </c>
      <c r="E10" s="3" t="s">
        <v>173</v>
      </c>
      <c r="F10" s="3" t="s">
        <v>174</v>
      </c>
      <c r="G10" s="3" t="s">
        <v>175</v>
      </c>
      <c r="H10" s="3" t="s">
        <v>176</v>
      </c>
      <c r="I10" s="3" t="s">
        <v>177</v>
      </c>
      <c r="J10" s="3" t="s">
        <v>178</v>
      </c>
      <c r="K10" s="3" t="s">
        <v>179</v>
      </c>
      <c r="L10" s="3" t="s">
        <v>180</v>
      </c>
      <c r="M10" s="3" t="s">
        <v>181</v>
      </c>
    </row>
  </sheetData>
  <autoFilter ref="A2:M10" xr:uid="{00000000-0009-0000-0000-000004000000}"/>
  <mergeCells count="1">
    <mergeCell ref="A1:M1"/>
  </mergeCells>
  <pageMargins left="0.75" right="0.75" top="1" bottom="1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DDA24"/>
    <pageSetUpPr fitToPage="1"/>
  </sheetPr>
  <dimension ref="A1:AE13"/>
  <sheetViews>
    <sheetView showGridLines="0" tabSelected="1" topLeftCell="P1" zoomScaleNormal="100" workbookViewId="0">
      <pane ySplit="2" topLeftCell="A3" activePane="bottomLeft" state="frozen"/>
      <selection pane="bottomLeft" activeCell="W6" sqref="V6:W6"/>
    </sheetView>
  </sheetViews>
  <sheetFormatPr baseColWidth="10" defaultColWidth="8.7265625" defaultRowHeight="15" customHeight="1" x14ac:dyDescent="0.35"/>
  <cols>
    <col min="1" max="1" width="16" customWidth="1"/>
    <col min="2" max="2" width="26" customWidth="1"/>
    <col min="3" max="3" width="9" customWidth="1"/>
    <col min="4" max="4" width="20" customWidth="1"/>
    <col min="5" max="6" width="12" customWidth="1"/>
    <col min="7" max="7" width="8" customWidth="1"/>
    <col min="8" max="8" width="12" customWidth="1"/>
    <col min="9" max="9" width="17" customWidth="1"/>
    <col min="10" max="12" width="16" customWidth="1"/>
    <col min="13" max="13" width="17" customWidth="1"/>
    <col min="14" max="17" width="16" customWidth="1"/>
    <col min="18" max="18" width="9" customWidth="1"/>
    <col min="19" max="19" width="20" customWidth="1"/>
    <col min="20" max="20" width="11" customWidth="1"/>
    <col min="21" max="21" width="16" customWidth="1"/>
    <col min="22" max="23" width="26" customWidth="1"/>
    <col min="24" max="24" width="17" customWidth="1"/>
    <col min="25" max="25" width="15" customWidth="1"/>
    <col min="26" max="26" width="34" customWidth="1"/>
    <col min="27" max="27" width="36" customWidth="1"/>
    <col min="28" max="28" width="48" customWidth="1"/>
    <col min="29" max="29" width="22" customWidth="1"/>
    <col min="30" max="30" width="12" customWidth="1"/>
    <col min="31" max="31" width="30" customWidth="1"/>
  </cols>
  <sheetData>
    <row r="1" spans="1:31" ht="26" customHeight="1" x14ac:dyDescent="0.35">
      <c r="A1" s="21" t="s">
        <v>325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39.75" customHeight="1" thickBot="1" x14ac:dyDescent="0.4">
      <c r="A2" s="1" t="s">
        <v>4</v>
      </c>
      <c r="B2" s="1" t="s">
        <v>182</v>
      </c>
      <c r="C2" s="1" t="s">
        <v>6</v>
      </c>
      <c r="D2" s="1" t="s">
        <v>183</v>
      </c>
      <c r="E2" s="1" t="s">
        <v>9</v>
      </c>
      <c r="F2" s="1" t="s">
        <v>10</v>
      </c>
      <c r="G2" s="1" t="s">
        <v>184</v>
      </c>
      <c r="H2" s="1" t="s">
        <v>185</v>
      </c>
      <c r="I2" s="1" t="s">
        <v>186</v>
      </c>
      <c r="J2" s="1" t="s">
        <v>187</v>
      </c>
      <c r="K2" s="1" t="s">
        <v>188</v>
      </c>
      <c r="L2" s="1" t="s">
        <v>189</v>
      </c>
      <c r="M2" s="1" t="s">
        <v>43</v>
      </c>
      <c r="N2" s="1" t="s">
        <v>190</v>
      </c>
      <c r="O2" s="1" t="s">
        <v>191</v>
      </c>
      <c r="P2" s="1" t="s">
        <v>192</v>
      </c>
      <c r="Q2" s="1" t="s">
        <v>193</v>
      </c>
      <c r="R2" s="1" t="s">
        <v>39</v>
      </c>
      <c r="S2" s="1" t="s">
        <v>37</v>
      </c>
      <c r="T2" s="1" t="s">
        <v>194</v>
      </c>
      <c r="U2" s="1" t="s">
        <v>38</v>
      </c>
      <c r="V2" s="1" t="s">
        <v>195</v>
      </c>
      <c r="W2" s="1" t="s">
        <v>196</v>
      </c>
      <c r="X2" s="1" t="s">
        <v>45</v>
      </c>
      <c r="Y2" s="1" t="s">
        <v>47</v>
      </c>
      <c r="Z2" s="1" t="s">
        <v>197</v>
      </c>
      <c r="AA2" s="1" t="s">
        <v>198</v>
      </c>
      <c r="AB2" s="1" t="s">
        <v>41</v>
      </c>
      <c r="AC2" s="1" t="s">
        <v>199</v>
      </c>
      <c r="AD2" s="1" t="s">
        <v>200</v>
      </c>
      <c r="AE2" s="1" t="s">
        <v>201</v>
      </c>
    </row>
    <row r="3" spans="1:31" ht="61.5" customHeight="1" thickTop="1" x14ac:dyDescent="0.35">
      <c r="A3" s="2" t="s">
        <v>14</v>
      </c>
      <c r="B3" s="2" t="s">
        <v>26</v>
      </c>
      <c r="C3" s="2" t="s">
        <v>15</v>
      </c>
      <c r="D3" s="2" t="s">
        <v>202</v>
      </c>
      <c r="E3" s="7">
        <v>46265</v>
      </c>
      <c r="F3" s="7">
        <v>46266</v>
      </c>
      <c r="G3" s="2" t="s">
        <v>53</v>
      </c>
      <c r="H3" s="14">
        <v>100000</v>
      </c>
      <c r="I3" s="8">
        <v>12000000000</v>
      </c>
      <c r="J3" s="8">
        <v>900000000</v>
      </c>
      <c r="K3" s="8">
        <v>600000000</v>
      </c>
      <c r="L3" s="8">
        <f t="shared" ref="L3:L13" si="0">J3-K3</f>
        <v>300000000</v>
      </c>
      <c r="M3" s="8">
        <f t="shared" ref="M3:M13" si="1">I3+L3</f>
        <v>12300000000</v>
      </c>
      <c r="N3" s="8">
        <v>4000000000</v>
      </c>
      <c r="O3" s="8">
        <v>9000000000</v>
      </c>
      <c r="P3" s="8">
        <f t="shared" ref="P3:P13" si="2">MAX(0,N3-M3)</f>
        <v>0</v>
      </c>
      <c r="Q3" s="8">
        <f t="shared" ref="Q3:Q13" si="3">MAX(0,M3-O3)</f>
        <v>3300000000</v>
      </c>
      <c r="R3" s="2" t="s">
        <v>58</v>
      </c>
      <c r="S3" s="2" t="s">
        <v>203</v>
      </c>
      <c r="T3" s="2" t="s">
        <v>204</v>
      </c>
      <c r="U3" s="8">
        <v>3300000000</v>
      </c>
      <c r="V3" s="2" t="s">
        <v>26</v>
      </c>
      <c r="W3" s="2"/>
      <c r="X3" s="8">
        <f t="shared" ref="X3:X13" si="4">IF(T3="entrada",M3+U3,IF(T3="salida",M3-U3,M3))</f>
        <v>9000000000</v>
      </c>
      <c r="Y3" s="8">
        <v>0</v>
      </c>
      <c r="Z3" s="2" t="s">
        <v>310</v>
      </c>
      <c r="AA3" s="2" t="s">
        <v>206</v>
      </c>
      <c r="AB3" s="2" t="s">
        <v>207</v>
      </c>
      <c r="AC3" s="2" t="s">
        <v>208</v>
      </c>
      <c r="AD3" s="2" t="s">
        <v>209</v>
      </c>
      <c r="AE3" s="2" t="s">
        <v>210</v>
      </c>
    </row>
    <row r="4" spans="1:31" ht="61.5" customHeight="1" x14ac:dyDescent="0.35">
      <c r="A4" s="3" t="s">
        <v>14</v>
      </c>
      <c r="B4" s="3" t="s">
        <v>26</v>
      </c>
      <c r="C4" s="3" t="s">
        <v>15</v>
      </c>
      <c r="D4" s="3" t="s">
        <v>202</v>
      </c>
      <c r="E4" s="9">
        <v>46265</v>
      </c>
      <c r="F4" s="9">
        <v>46266</v>
      </c>
      <c r="G4" s="3" t="s">
        <v>53</v>
      </c>
      <c r="H4" s="16">
        <v>50000</v>
      </c>
      <c r="I4" s="10">
        <v>3000000000</v>
      </c>
      <c r="J4" s="10">
        <v>400000000</v>
      </c>
      <c r="K4" s="10">
        <v>1500000000</v>
      </c>
      <c r="L4" s="10">
        <f t="shared" si="0"/>
        <v>-1100000000</v>
      </c>
      <c r="M4" s="10">
        <f t="shared" si="1"/>
        <v>1900000000</v>
      </c>
      <c r="N4" s="10">
        <v>2500000000</v>
      </c>
      <c r="O4" s="10">
        <v>6000000000</v>
      </c>
      <c r="P4" s="10">
        <f t="shared" si="2"/>
        <v>600000000</v>
      </c>
      <c r="Q4" s="10">
        <f t="shared" si="3"/>
        <v>0</v>
      </c>
      <c r="R4" s="3" t="s">
        <v>50</v>
      </c>
      <c r="S4" s="3" t="s">
        <v>211</v>
      </c>
      <c r="T4" s="3" t="s">
        <v>212</v>
      </c>
      <c r="U4" s="10">
        <v>800000000</v>
      </c>
      <c r="V4" s="3" t="s">
        <v>213</v>
      </c>
      <c r="W4" s="3" t="s">
        <v>26</v>
      </c>
      <c r="X4" s="10">
        <f t="shared" si="4"/>
        <v>2700000000</v>
      </c>
      <c r="Y4" s="10">
        <v>0</v>
      </c>
      <c r="Z4" s="3" t="s">
        <v>311</v>
      </c>
      <c r="AA4" s="3" t="s">
        <v>214</v>
      </c>
      <c r="AB4" s="3" t="s">
        <v>215</v>
      </c>
      <c r="AC4" s="3" t="s">
        <v>208</v>
      </c>
      <c r="AD4" s="3" t="s">
        <v>209</v>
      </c>
      <c r="AE4" s="3" t="s">
        <v>210</v>
      </c>
    </row>
    <row r="5" spans="1:31" ht="61.5" customHeight="1" x14ac:dyDescent="0.35">
      <c r="A5" s="4" t="s">
        <v>14</v>
      </c>
      <c r="B5" s="4" t="s">
        <v>213</v>
      </c>
      <c r="C5" s="4" t="s">
        <v>15</v>
      </c>
      <c r="D5" s="4" t="s">
        <v>216</v>
      </c>
      <c r="E5" s="11">
        <v>46265</v>
      </c>
      <c r="F5" s="11">
        <v>46266</v>
      </c>
      <c r="G5" s="4" t="s">
        <v>53</v>
      </c>
      <c r="H5" s="18">
        <v>50000</v>
      </c>
      <c r="I5" s="12">
        <v>7000000000</v>
      </c>
      <c r="J5" s="12">
        <v>500000000</v>
      </c>
      <c r="K5" s="12">
        <v>300000000</v>
      </c>
      <c r="L5" s="12">
        <f t="shared" si="0"/>
        <v>200000000</v>
      </c>
      <c r="M5" s="12">
        <f t="shared" si="1"/>
        <v>7200000000</v>
      </c>
      <c r="N5" s="12">
        <v>2000000000</v>
      </c>
      <c r="O5" s="12">
        <v>5000000000</v>
      </c>
      <c r="P5" s="12">
        <f t="shared" si="2"/>
        <v>0</v>
      </c>
      <c r="Q5" s="12">
        <f t="shared" si="3"/>
        <v>2200000000</v>
      </c>
      <c r="R5" s="4" t="s">
        <v>58</v>
      </c>
      <c r="S5" s="4" t="s">
        <v>211</v>
      </c>
      <c r="T5" s="4" t="s">
        <v>204</v>
      </c>
      <c r="U5" s="12">
        <v>800000000</v>
      </c>
      <c r="V5" s="4" t="s">
        <v>213</v>
      </c>
      <c r="W5" s="4" t="s">
        <v>26</v>
      </c>
      <c r="X5" s="12">
        <f t="shared" si="4"/>
        <v>6400000000</v>
      </c>
      <c r="Y5" s="12">
        <v>0</v>
      </c>
      <c r="Z5" s="4" t="s">
        <v>312</v>
      </c>
      <c r="AA5" s="4" t="s">
        <v>217</v>
      </c>
      <c r="AB5" s="4" t="s">
        <v>218</v>
      </c>
      <c r="AC5" s="4" t="s">
        <v>208</v>
      </c>
      <c r="AD5" s="4" t="s">
        <v>209</v>
      </c>
      <c r="AE5" s="4" t="s">
        <v>210</v>
      </c>
    </row>
    <row r="6" spans="1:31" ht="61.5" customHeight="1" x14ac:dyDescent="0.35">
      <c r="A6" s="3" t="s">
        <v>14</v>
      </c>
      <c r="B6" s="3" t="s">
        <v>26</v>
      </c>
      <c r="C6" s="3" t="s">
        <v>15</v>
      </c>
      <c r="D6" s="3" t="s">
        <v>202</v>
      </c>
      <c r="E6" s="9">
        <v>46265</v>
      </c>
      <c r="F6" s="9">
        <v>46266</v>
      </c>
      <c r="G6" s="3" t="s">
        <v>53</v>
      </c>
      <c r="H6" s="16">
        <v>20000</v>
      </c>
      <c r="I6" s="10">
        <v>6500000000</v>
      </c>
      <c r="J6" s="10">
        <v>300000000</v>
      </c>
      <c r="K6" s="10">
        <v>200000000</v>
      </c>
      <c r="L6" s="10">
        <f t="shared" si="0"/>
        <v>100000000</v>
      </c>
      <c r="M6" s="10">
        <f t="shared" si="1"/>
        <v>6600000000</v>
      </c>
      <c r="N6" s="10">
        <v>1500000000</v>
      </c>
      <c r="O6" s="10">
        <v>5000000000</v>
      </c>
      <c r="P6" s="10">
        <f t="shared" si="2"/>
        <v>0</v>
      </c>
      <c r="Q6" s="10">
        <f t="shared" si="3"/>
        <v>1600000000</v>
      </c>
      <c r="R6" s="3" t="s">
        <v>58</v>
      </c>
      <c r="S6" s="3" t="s">
        <v>219</v>
      </c>
      <c r="T6" s="3" t="s">
        <v>204</v>
      </c>
      <c r="U6" s="10">
        <v>1500000000</v>
      </c>
      <c r="V6" s="3" t="s">
        <v>26</v>
      </c>
      <c r="W6" s="3" t="s">
        <v>220</v>
      </c>
      <c r="X6" s="10">
        <f t="shared" si="4"/>
        <v>5100000000</v>
      </c>
      <c r="Y6" s="10">
        <v>497533</v>
      </c>
      <c r="Z6" s="3" t="s">
        <v>205</v>
      </c>
      <c r="AA6" s="3" t="s">
        <v>221</v>
      </c>
      <c r="AB6" s="3" t="s">
        <v>222</v>
      </c>
      <c r="AC6" s="3" t="s">
        <v>208</v>
      </c>
      <c r="AD6" s="3" t="s">
        <v>209</v>
      </c>
      <c r="AE6" s="3" t="s">
        <v>210</v>
      </c>
    </row>
    <row r="7" spans="1:31" ht="61.5" customHeight="1" x14ac:dyDescent="0.35">
      <c r="A7" s="4" t="s">
        <v>14</v>
      </c>
      <c r="B7" s="4" t="s">
        <v>26</v>
      </c>
      <c r="C7" s="4" t="s">
        <v>15</v>
      </c>
      <c r="D7" s="4" t="s">
        <v>202</v>
      </c>
      <c r="E7" s="11">
        <v>46265</v>
      </c>
      <c r="F7" s="11">
        <v>46266</v>
      </c>
      <c r="G7" s="4" t="s">
        <v>53</v>
      </c>
      <c r="H7" s="18">
        <v>10000</v>
      </c>
      <c r="I7" s="12">
        <v>1200000000</v>
      </c>
      <c r="J7" s="12">
        <v>50000000</v>
      </c>
      <c r="K7" s="12">
        <v>400000000</v>
      </c>
      <c r="L7" s="12">
        <f t="shared" si="0"/>
        <v>-350000000</v>
      </c>
      <c r="M7" s="12">
        <f t="shared" si="1"/>
        <v>850000000</v>
      </c>
      <c r="N7" s="12">
        <v>1000000000</v>
      </c>
      <c r="O7" s="12">
        <v>3000000000</v>
      </c>
      <c r="P7" s="12">
        <f t="shared" si="2"/>
        <v>150000000</v>
      </c>
      <c r="Q7" s="12">
        <f t="shared" si="3"/>
        <v>0</v>
      </c>
      <c r="R7" s="4" t="s">
        <v>55</v>
      </c>
      <c r="S7" s="4" t="s">
        <v>223</v>
      </c>
      <c r="T7" s="4" t="s">
        <v>212</v>
      </c>
      <c r="U7" s="12">
        <v>300000000</v>
      </c>
      <c r="V7" s="4" t="s">
        <v>220</v>
      </c>
      <c r="W7" s="4" t="s">
        <v>26</v>
      </c>
      <c r="X7" s="12">
        <f t="shared" si="4"/>
        <v>1150000000</v>
      </c>
      <c r="Y7" s="12">
        <v>241933</v>
      </c>
      <c r="Z7" s="4" t="s">
        <v>313</v>
      </c>
      <c r="AA7" s="4" t="s">
        <v>224</v>
      </c>
      <c r="AB7" s="4" t="s">
        <v>225</v>
      </c>
      <c r="AC7" s="4" t="s">
        <v>208</v>
      </c>
      <c r="AD7" s="4" t="s">
        <v>209</v>
      </c>
      <c r="AE7" s="4" t="s">
        <v>210</v>
      </c>
    </row>
    <row r="8" spans="1:31" ht="61.5" customHeight="1" x14ac:dyDescent="0.35">
      <c r="A8" s="3" t="s">
        <v>14</v>
      </c>
      <c r="B8" s="3" t="s">
        <v>26</v>
      </c>
      <c r="C8" s="3" t="s">
        <v>15</v>
      </c>
      <c r="D8" s="3" t="s">
        <v>202</v>
      </c>
      <c r="E8" s="9">
        <v>46265</v>
      </c>
      <c r="F8" s="9">
        <v>46266</v>
      </c>
      <c r="G8" s="3" t="s">
        <v>53</v>
      </c>
      <c r="H8" s="16">
        <v>5000</v>
      </c>
      <c r="I8" s="10">
        <v>900000000</v>
      </c>
      <c r="J8" s="10">
        <v>20000000</v>
      </c>
      <c r="K8" s="10">
        <v>30000000</v>
      </c>
      <c r="L8" s="10">
        <f t="shared" si="0"/>
        <v>-10000000</v>
      </c>
      <c r="M8" s="10">
        <f t="shared" si="1"/>
        <v>890000000</v>
      </c>
      <c r="N8" s="10">
        <v>300000000</v>
      </c>
      <c r="O8" s="10">
        <v>600000000</v>
      </c>
      <c r="P8" s="10">
        <f t="shared" si="2"/>
        <v>0</v>
      </c>
      <c r="Q8" s="10">
        <f t="shared" si="3"/>
        <v>290000000</v>
      </c>
      <c r="R8" s="3" t="s">
        <v>58</v>
      </c>
      <c r="S8" s="3" t="s">
        <v>226</v>
      </c>
      <c r="T8" s="3" t="s">
        <v>204</v>
      </c>
      <c r="U8" s="10">
        <v>250000000</v>
      </c>
      <c r="V8" s="3" t="s">
        <v>26</v>
      </c>
      <c r="W8" s="3" t="s">
        <v>227</v>
      </c>
      <c r="X8" s="10">
        <f t="shared" si="4"/>
        <v>640000000</v>
      </c>
      <c r="Y8" s="10">
        <v>0</v>
      </c>
      <c r="Z8" s="3" t="s">
        <v>314</v>
      </c>
      <c r="AA8" s="3" t="s">
        <v>228</v>
      </c>
      <c r="AB8" s="3" t="s">
        <v>229</v>
      </c>
      <c r="AC8" s="3" t="s">
        <v>208</v>
      </c>
      <c r="AD8" s="3" t="s">
        <v>209</v>
      </c>
      <c r="AE8" s="3" t="s">
        <v>210</v>
      </c>
    </row>
    <row r="9" spans="1:31" ht="61.5" customHeight="1" x14ac:dyDescent="0.35">
      <c r="A9" s="4" t="s">
        <v>14</v>
      </c>
      <c r="B9" s="4" t="s">
        <v>26</v>
      </c>
      <c r="C9" s="4" t="s">
        <v>15</v>
      </c>
      <c r="D9" s="4" t="s">
        <v>202</v>
      </c>
      <c r="E9" s="11">
        <v>46265</v>
      </c>
      <c r="F9" s="11">
        <v>46266</v>
      </c>
      <c r="G9" s="4" t="s">
        <v>53</v>
      </c>
      <c r="H9" s="18">
        <v>2000</v>
      </c>
      <c r="I9" s="12">
        <v>300000000</v>
      </c>
      <c r="J9" s="12">
        <v>10000000</v>
      </c>
      <c r="K9" s="12">
        <v>20000000</v>
      </c>
      <c r="L9" s="12">
        <f t="shared" si="0"/>
        <v>-10000000</v>
      </c>
      <c r="M9" s="12">
        <f t="shared" si="1"/>
        <v>290000000</v>
      </c>
      <c r="N9" s="12">
        <v>100000000</v>
      </c>
      <c r="O9" s="12">
        <v>500000000</v>
      </c>
      <c r="P9" s="12">
        <f t="shared" si="2"/>
        <v>0</v>
      </c>
      <c r="Q9" s="12">
        <f t="shared" si="3"/>
        <v>0</v>
      </c>
      <c r="R9" s="4" t="s">
        <v>58</v>
      </c>
      <c r="S9" s="4" t="s">
        <v>57</v>
      </c>
      <c r="T9" s="4" t="s">
        <v>230</v>
      </c>
      <c r="U9" s="4">
        <v>0</v>
      </c>
      <c r="V9" s="4"/>
      <c r="W9" s="4"/>
      <c r="X9" s="12">
        <f t="shared" si="4"/>
        <v>290000000</v>
      </c>
      <c r="Y9" s="12">
        <v>0</v>
      </c>
      <c r="Z9" s="4" t="s">
        <v>315</v>
      </c>
      <c r="AA9" s="4" t="s">
        <v>61</v>
      </c>
      <c r="AB9" s="4" t="s">
        <v>231</v>
      </c>
      <c r="AC9" s="4" t="s">
        <v>208</v>
      </c>
      <c r="AD9" s="4" t="s">
        <v>209</v>
      </c>
      <c r="AE9" s="4" t="s">
        <v>210</v>
      </c>
    </row>
    <row r="10" spans="1:31" ht="61.5" customHeight="1" x14ac:dyDescent="0.35">
      <c r="A10" s="3" t="s">
        <v>14</v>
      </c>
      <c r="B10" s="3" t="s">
        <v>29</v>
      </c>
      <c r="C10" s="3" t="s">
        <v>19</v>
      </c>
      <c r="D10" s="3" t="s">
        <v>202</v>
      </c>
      <c r="E10" s="9">
        <v>46265</v>
      </c>
      <c r="F10" s="9">
        <v>46266</v>
      </c>
      <c r="G10" s="3" t="s">
        <v>53</v>
      </c>
      <c r="H10" s="16">
        <v>100000</v>
      </c>
      <c r="I10" s="10">
        <v>2000000000</v>
      </c>
      <c r="J10" s="10">
        <v>150000000</v>
      </c>
      <c r="K10" s="10">
        <v>700000000</v>
      </c>
      <c r="L10" s="10">
        <f t="shared" si="0"/>
        <v>-550000000</v>
      </c>
      <c r="M10" s="10">
        <f t="shared" si="1"/>
        <v>1450000000</v>
      </c>
      <c r="N10" s="10">
        <v>1800000000</v>
      </c>
      <c r="O10" s="10">
        <v>4000000000</v>
      </c>
      <c r="P10" s="10">
        <f t="shared" si="2"/>
        <v>350000000</v>
      </c>
      <c r="Q10" s="10">
        <f t="shared" si="3"/>
        <v>0</v>
      </c>
      <c r="R10" s="3" t="s">
        <v>50</v>
      </c>
      <c r="S10" s="3" t="s">
        <v>232</v>
      </c>
      <c r="T10" s="3" t="s">
        <v>212</v>
      </c>
      <c r="U10" s="10">
        <v>500000000</v>
      </c>
      <c r="V10" s="3" t="s">
        <v>220</v>
      </c>
      <c r="W10" s="3" t="s">
        <v>29</v>
      </c>
      <c r="X10" s="10">
        <f t="shared" si="4"/>
        <v>1950000000</v>
      </c>
      <c r="Y10" s="10">
        <v>320533</v>
      </c>
      <c r="Z10" s="3" t="s">
        <v>316</v>
      </c>
      <c r="AA10" s="3" t="s">
        <v>233</v>
      </c>
      <c r="AB10" s="3" t="s">
        <v>234</v>
      </c>
      <c r="AC10" s="3" t="s">
        <v>208</v>
      </c>
      <c r="AD10" s="3" t="s">
        <v>209</v>
      </c>
      <c r="AE10" s="3" t="s">
        <v>210</v>
      </c>
    </row>
    <row r="11" spans="1:31" ht="61.5" customHeight="1" x14ac:dyDescent="0.35">
      <c r="A11" s="4" t="s">
        <v>14</v>
      </c>
      <c r="B11" s="4" t="s">
        <v>31</v>
      </c>
      <c r="C11" s="4" t="s">
        <v>15</v>
      </c>
      <c r="D11" s="4" t="s">
        <v>235</v>
      </c>
      <c r="E11" s="11">
        <v>46265</v>
      </c>
      <c r="F11" s="11">
        <v>46266</v>
      </c>
      <c r="G11" s="4" t="s">
        <v>53</v>
      </c>
      <c r="H11" s="18">
        <v>50000</v>
      </c>
      <c r="I11" s="12">
        <v>5000000000</v>
      </c>
      <c r="J11" s="12">
        <v>300000000</v>
      </c>
      <c r="K11" s="12">
        <v>200000000</v>
      </c>
      <c r="L11" s="12">
        <f t="shared" si="0"/>
        <v>100000000</v>
      </c>
      <c r="M11" s="12">
        <f t="shared" si="1"/>
        <v>5100000000</v>
      </c>
      <c r="N11" s="12">
        <v>2000000000</v>
      </c>
      <c r="O11" s="12">
        <v>4000000000</v>
      </c>
      <c r="P11" s="12">
        <f t="shared" si="2"/>
        <v>0</v>
      </c>
      <c r="Q11" s="12">
        <f t="shared" si="3"/>
        <v>1100000000</v>
      </c>
      <c r="R11" s="4" t="s">
        <v>58</v>
      </c>
      <c r="S11" s="4" t="s">
        <v>211</v>
      </c>
      <c r="T11" s="4" t="s">
        <v>204</v>
      </c>
      <c r="U11" s="12">
        <v>500000000</v>
      </c>
      <c r="V11" s="4" t="s">
        <v>31</v>
      </c>
      <c r="W11" s="4" t="s">
        <v>34</v>
      </c>
      <c r="X11" s="12">
        <f t="shared" si="4"/>
        <v>4600000000</v>
      </c>
      <c r="Y11" s="12">
        <v>598479</v>
      </c>
      <c r="Z11" s="4" t="s">
        <v>317</v>
      </c>
      <c r="AA11" s="4" t="s">
        <v>236</v>
      </c>
      <c r="AB11" s="4" t="s">
        <v>237</v>
      </c>
      <c r="AC11" s="4" t="s">
        <v>208</v>
      </c>
      <c r="AD11" s="4" t="s">
        <v>209</v>
      </c>
      <c r="AE11" s="4" t="s">
        <v>210</v>
      </c>
    </row>
    <row r="12" spans="1:31" ht="61.5" customHeight="1" x14ac:dyDescent="0.35">
      <c r="A12" s="3" t="s">
        <v>14</v>
      </c>
      <c r="B12" s="3" t="s">
        <v>34</v>
      </c>
      <c r="C12" s="3" t="s">
        <v>33</v>
      </c>
      <c r="D12" s="3" t="s">
        <v>235</v>
      </c>
      <c r="E12" s="9">
        <v>46265</v>
      </c>
      <c r="F12" s="9">
        <v>46266</v>
      </c>
      <c r="G12" s="3" t="s">
        <v>53</v>
      </c>
      <c r="H12" s="16">
        <v>50000</v>
      </c>
      <c r="I12" s="10">
        <v>600000000</v>
      </c>
      <c r="J12" s="10">
        <v>40000000</v>
      </c>
      <c r="K12" s="10">
        <v>250000000</v>
      </c>
      <c r="L12" s="10">
        <f t="shared" si="0"/>
        <v>-210000000</v>
      </c>
      <c r="M12" s="10">
        <f t="shared" si="1"/>
        <v>390000000</v>
      </c>
      <c r="N12" s="10">
        <v>700000000</v>
      </c>
      <c r="O12" s="10">
        <v>1500000000</v>
      </c>
      <c r="P12" s="10">
        <f t="shared" si="2"/>
        <v>310000000</v>
      </c>
      <c r="Q12" s="10">
        <f t="shared" si="3"/>
        <v>0</v>
      </c>
      <c r="R12" s="3" t="s">
        <v>50</v>
      </c>
      <c r="S12" s="3" t="s">
        <v>211</v>
      </c>
      <c r="T12" s="3" t="s">
        <v>212</v>
      </c>
      <c r="U12" s="10">
        <v>500000000</v>
      </c>
      <c r="V12" s="3" t="s">
        <v>31</v>
      </c>
      <c r="W12" s="3" t="s">
        <v>34</v>
      </c>
      <c r="X12" s="10">
        <f t="shared" si="4"/>
        <v>890000000</v>
      </c>
      <c r="Y12" s="10">
        <v>0</v>
      </c>
      <c r="Z12" s="3" t="s">
        <v>318</v>
      </c>
      <c r="AA12" s="3" t="s">
        <v>214</v>
      </c>
      <c r="AB12" s="3" t="s">
        <v>238</v>
      </c>
      <c r="AC12" s="3" t="s">
        <v>208</v>
      </c>
      <c r="AD12" s="3" t="s">
        <v>209</v>
      </c>
      <c r="AE12" s="3" t="s">
        <v>210</v>
      </c>
    </row>
    <row r="13" spans="1:31" ht="61.5" customHeight="1" x14ac:dyDescent="0.35">
      <c r="A13" s="4" t="s">
        <v>14</v>
      </c>
      <c r="B13" s="4" t="s">
        <v>26</v>
      </c>
      <c r="C13" s="4" t="s">
        <v>15</v>
      </c>
      <c r="D13" s="4" t="s">
        <v>202</v>
      </c>
      <c r="E13" s="11">
        <v>46265</v>
      </c>
      <c r="F13" s="11">
        <v>46271</v>
      </c>
      <c r="G13" s="4" t="s">
        <v>239</v>
      </c>
      <c r="H13" s="18">
        <v>100000</v>
      </c>
      <c r="I13" s="12">
        <v>9500000000</v>
      </c>
      <c r="J13" s="12">
        <v>200000000</v>
      </c>
      <c r="K13" s="12">
        <v>350000000</v>
      </c>
      <c r="L13" s="12">
        <f t="shared" si="0"/>
        <v>-150000000</v>
      </c>
      <c r="M13" s="12">
        <f t="shared" si="1"/>
        <v>9350000000</v>
      </c>
      <c r="N13" s="12">
        <v>4000000000</v>
      </c>
      <c r="O13" s="12">
        <v>9000000000</v>
      </c>
      <c r="P13" s="12">
        <f t="shared" si="2"/>
        <v>0</v>
      </c>
      <c r="Q13" s="12">
        <f t="shared" si="3"/>
        <v>350000000</v>
      </c>
      <c r="R13" s="4" t="s">
        <v>58</v>
      </c>
      <c r="S13" s="4" t="s">
        <v>57</v>
      </c>
      <c r="T13" s="4" t="s">
        <v>230</v>
      </c>
      <c r="U13" s="4">
        <v>0</v>
      </c>
      <c r="V13" s="4"/>
      <c r="W13" s="4"/>
      <c r="X13" s="12">
        <f t="shared" si="4"/>
        <v>9350000000</v>
      </c>
      <c r="Y13" s="12">
        <v>0</v>
      </c>
      <c r="Z13" s="4" t="s">
        <v>319</v>
      </c>
      <c r="AA13" s="4" t="s">
        <v>240</v>
      </c>
      <c r="AB13" s="4" t="s">
        <v>241</v>
      </c>
      <c r="AC13" s="4" t="s">
        <v>242</v>
      </c>
      <c r="AD13" s="4" t="s">
        <v>209</v>
      </c>
      <c r="AE13" s="4" t="s">
        <v>210</v>
      </c>
    </row>
  </sheetData>
  <autoFilter ref="A2:AE13" xr:uid="{00000000-0001-0000-0500-000000000000}"/>
  <mergeCells count="1">
    <mergeCell ref="A1:AE1"/>
  </mergeCells>
  <dataValidations count="6">
    <dataValidation type="list" allowBlank="1" sqref="G3:G1013" xr:uid="{00000000-0002-0000-0500-000000000000}">
      <formula1>"Sí,No"</formula1>
      <formula2>0</formula2>
    </dataValidation>
    <dataValidation type="list" allowBlank="1" sqref="H3:H1013" xr:uid="{00000000-0002-0000-0500-000001000000}">
      <formula1>"100000,50000,20000,10000,5000,2000"</formula1>
      <formula2>0</formula2>
    </dataValidation>
    <dataValidation type="list" allowBlank="1" sqref="R3:R1013" xr:uid="{00000000-0002-0000-0500-000002000000}">
      <formula1>"alto,medio,bajo"</formula1>
      <formula2>0</formula2>
    </dataValidation>
    <dataValidation type="list" allowBlank="1" sqref="S3:S1013" xr:uid="{00000000-0002-0000-0500-000003000000}">
      <formula1>"traslado_fondos,venta_efectivo,consignacion_banrep,retiro_banrep,cambio_denominacion,intercambio_bancos,otra_accion_justificada,sin_accion"</formula1>
      <formula2>0</formula2>
    </dataValidation>
    <dataValidation type="list" allowBlank="1" sqref="T3:T1013" xr:uid="{00000000-0002-0000-0500-000004000000}">
      <formula1>"entrada,salida,ninguno"</formula1>
      <formula2>0</formula2>
    </dataValidation>
    <dataValidation type="list" allowBlank="1" sqref="AD3:AD1013" xr:uid="{00000000-0002-0000-0500-000005000000}">
      <formula1>"observada,derivada,estimada"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BA59D"/>
    <pageSetUpPr fitToPage="1"/>
  </sheetPr>
  <dimension ref="A1:F22"/>
  <sheetViews>
    <sheetView showGridLines="0" zoomScaleNormal="100" workbookViewId="0">
      <pane ySplit="2" topLeftCell="A3" activePane="bottomLeft" state="frozen"/>
      <selection pane="bottomLeft" sqref="A1:XFD1048576"/>
    </sheetView>
  </sheetViews>
  <sheetFormatPr baseColWidth="10" defaultColWidth="8.7265625" defaultRowHeight="15" customHeight="1" x14ac:dyDescent="0.35"/>
  <cols>
    <col min="1" max="1" width="22" customWidth="1"/>
    <col min="2" max="2" width="30" customWidth="1"/>
    <col min="3" max="3" width="50" customWidth="1"/>
    <col min="4" max="4" width="20" customWidth="1"/>
    <col min="5" max="5" width="13" customWidth="1"/>
    <col min="6" max="6" width="60" customWidth="1"/>
  </cols>
  <sheetData>
    <row r="1" spans="1:6" ht="26" customHeight="1" x14ac:dyDescent="0.35">
      <c r="A1" s="21" t="s">
        <v>326</v>
      </c>
      <c r="B1" s="22"/>
      <c r="C1" s="22"/>
      <c r="D1" s="22"/>
      <c r="E1" s="22"/>
      <c r="F1" s="22"/>
    </row>
    <row r="2" spans="1:6" ht="39.75" customHeight="1" thickBot="1" x14ac:dyDescent="0.4">
      <c r="A2" s="1" t="s">
        <v>244</v>
      </c>
      <c r="B2" s="1" t="s">
        <v>245</v>
      </c>
      <c r="C2" s="1" t="s">
        <v>246</v>
      </c>
      <c r="D2" s="1" t="s">
        <v>247</v>
      </c>
      <c r="E2" s="1" t="s">
        <v>243</v>
      </c>
      <c r="F2" s="1" t="s">
        <v>248</v>
      </c>
    </row>
    <row r="3" spans="1:6" ht="34.5" customHeight="1" thickTop="1" x14ac:dyDescent="0.35">
      <c r="A3" s="2" t="s">
        <v>249</v>
      </c>
      <c r="B3" s="2" t="s">
        <v>7</v>
      </c>
      <c r="C3" s="2" t="s">
        <v>250</v>
      </c>
      <c r="D3" s="2" t="s">
        <v>251</v>
      </c>
      <c r="E3" s="2" t="s">
        <v>252</v>
      </c>
      <c r="F3" s="2" t="s">
        <v>253</v>
      </c>
    </row>
    <row r="4" spans="1:6" ht="34.5" customHeight="1" x14ac:dyDescent="0.35">
      <c r="A4" s="3" t="s">
        <v>249</v>
      </c>
      <c r="B4" s="3" t="s">
        <v>11</v>
      </c>
      <c r="C4" s="3" t="s">
        <v>254</v>
      </c>
      <c r="D4" s="3" t="s">
        <v>255</v>
      </c>
      <c r="E4" s="3" t="s">
        <v>252</v>
      </c>
      <c r="F4" s="3" t="s">
        <v>256</v>
      </c>
    </row>
    <row r="5" spans="1:6" ht="34.5" customHeight="1" x14ac:dyDescent="0.35">
      <c r="A5" s="4" t="s">
        <v>249</v>
      </c>
      <c r="B5" s="4" t="s">
        <v>12</v>
      </c>
      <c r="C5" s="4" t="s">
        <v>257</v>
      </c>
      <c r="D5" s="4" t="s">
        <v>258</v>
      </c>
      <c r="E5" s="4" t="s">
        <v>252</v>
      </c>
      <c r="F5" s="4" t="s">
        <v>327</v>
      </c>
    </row>
    <row r="6" spans="1:6" ht="34.5" customHeight="1" x14ac:dyDescent="0.35">
      <c r="A6" s="3" t="s">
        <v>249</v>
      </c>
      <c r="B6" s="3" t="s">
        <v>13</v>
      </c>
      <c r="C6" s="3" t="s">
        <v>259</v>
      </c>
      <c r="D6" s="3" t="s">
        <v>260</v>
      </c>
      <c r="E6" s="3" t="s">
        <v>252</v>
      </c>
      <c r="F6" s="3" t="s">
        <v>328</v>
      </c>
    </row>
    <row r="7" spans="1:6" ht="34.5" customHeight="1" x14ac:dyDescent="0.35">
      <c r="A7" s="4" t="s">
        <v>261</v>
      </c>
      <c r="B7" s="4" t="s">
        <v>35</v>
      </c>
      <c r="C7" s="4" t="s">
        <v>262</v>
      </c>
      <c r="D7" s="4" t="s">
        <v>251</v>
      </c>
      <c r="E7" s="4" t="s">
        <v>263</v>
      </c>
      <c r="F7" s="4" t="s">
        <v>329</v>
      </c>
    </row>
    <row r="8" spans="1:6" ht="34.5" customHeight="1" x14ac:dyDescent="0.35">
      <c r="A8" s="3" t="s">
        <v>261</v>
      </c>
      <c r="B8" s="3" t="s">
        <v>42</v>
      </c>
      <c r="C8" s="3" t="s">
        <v>264</v>
      </c>
      <c r="D8" s="3" t="s">
        <v>265</v>
      </c>
      <c r="E8" s="3" t="s">
        <v>266</v>
      </c>
      <c r="F8" s="3" t="s">
        <v>330</v>
      </c>
    </row>
    <row r="9" spans="1:6" ht="34.5" customHeight="1" x14ac:dyDescent="0.35">
      <c r="A9" s="4" t="s">
        <v>261</v>
      </c>
      <c r="B9" s="4" t="s">
        <v>43</v>
      </c>
      <c r="C9" s="4" t="s">
        <v>267</v>
      </c>
      <c r="D9" s="4" t="s">
        <v>258</v>
      </c>
      <c r="E9" s="4" t="s">
        <v>266</v>
      </c>
      <c r="F9" s="4" t="s">
        <v>331</v>
      </c>
    </row>
    <row r="10" spans="1:6" ht="34.5" customHeight="1" x14ac:dyDescent="0.35">
      <c r="A10" s="3" t="s">
        <v>261</v>
      </c>
      <c r="B10" s="3" t="s">
        <v>44</v>
      </c>
      <c r="C10" s="3" t="s">
        <v>268</v>
      </c>
      <c r="D10" s="3" t="s">
        <v>91</v>
      </c>
      <c r="E10" s="3" t="s">
        <v>266</v>
      </c>
      <c r="F10" s="3" t="s">
        <v>269</v>
      </c>
    </row>
    <row r="11" spans="1:6" ht="34.5" customHeight="1" x14ac:dyDescent="0.35">
      <c r="A11" s="4" t="s">
        <v>261</v>
      </c>
      <c r="B11" s="4" t="s">
        <v>45</v>
      </c>
      <c r="C11" s="4" t="s">
        <v>270</v>
      </c>
      <c r="D11" s="4" t="s">
        <v>258</v>
      </c>
      <c r="E11" s="4" t="s">
        <v>266</v>
      </c>
      <c r="F11" s="4" t="s">
        <v>256</v>
      </c>
    </row>
    <row r="12" spans="1:6" ht="34.5" customHeight="1" x14ac:dyDescent="0.35">
      <c r="A12" s="3" t="s">
        <v>261</v>
      </c>
      <c r="B12" s="3" t="s">
        <v>46</v>
      </c>
      <c r="C12" s="3" t="s">
        <v>271</v>
      </c>
      <c r="D12" s="3" t="s">
        <v>272</v>
      </c>
      <c r="E12" s="3" t="s">
        <v>266</v>
      </c>
      <c r="F12" s="3" t="s">
        <v>332</v>
      </c>
    </row>
    <row r="13" spans="1:6" ht="34.5" customHeight="1" x14ac:dyDescent="0.35">
      <c r="A13" s="4" t="s">
        <v>273</v>
      </c>
      <c r="B13" s="4" t="s">
        <v>47</v>
      </c>
      <c r="C13" s="4" t="s">
        <v>274</v>
      </c>
      <c r="D13" s="4" t="s">
        <v>258</v>
      </c>
      <c r="E13" s="4" t="s">
        <v>275</v>
      </c>
      <c r="F13" s="4" t="s">
        <v>333</v>
      </c>
    </row>
    <row r="14" spans="1:6" ht="34.5" customHeight="1" x14ac:dyDescent="0.35">
      <c r="A14" s="3" t="s">
        <v>276</v>
      </c>
      <c r="B14" s="3" t="s">
        <v>80</v>
      </c>
      <c r="C14" s="3" t="s">
        <v>277</v>
      </c>
      <c r="D14" s="3" t="s">
        <v>278</v>
      </c>
      <c r="E14" s="3" t="s">
        <v>279</v>
      </c>
      <c r="F14" s="3" t="s">
        <v>334</v>
      </c>
    </row>
    <row r="15" spans="1:6" ht="34.5" customHeight="1" x14ac:dyDescent="0.35">
      <c r="A15" s="4" t="s">
        <v>280</v>
      </c>
      <c r="B15" s="4" t="s">
        <v>182</v>
      </c>
      <c r="C15" s="4" t="s">
        <v>281</v>
      </c>
      <c r="D15" s="4" t="s">
        <v>282</v>
      </c>
      <c r="E15" s="4" t="s">
        <v>3</v>
      </c>
      <c r="F15" s="4"/>
    </row>
    <row r="16" spans="1:6" ht="34.5" customHeight="1" x14ac:dyDescent="0.35">
      <c r="A16" s="3" t="s">
        <v>280</v>
      </c>
      <c r="B16" s="3" t="s">
        <v>184</v>
      </c>
      <c r="C16" s="3" t="s">
        <v>283</v>
      </c>
      <c r="D16" s="3" t="s">
        <v>284</v>
      </c>
      <c r="E16" s="3" t="s">
        <v>3</v>
      </c>
      <c r="F16" s="3" t="s">
        <v>335</v>
      </c>
    </row>
    <row r="17" spans="1:6" ht="34.5" customHeight="1" x14ac:dyDescent="0.35">
      <c r="A17" s="4" t="s">
        <v>280</v>
      </c>
      <c r="B17" s="4" t="s">
        <v>189</v>
      </c>
      <c r="C17" s="4" t="s">
        <v>285</v>
      </c>
      <c r="D17" s="4" t="s">
        <v>286</v>
      </c>
      <c r="E17" s="4" t="s">
        <v>3</v>
      </c>
      <c r="F17" s="4" t="s">
        <v>287</v>
      </c>
    </row>
    <row r="18" spans="1:6" ht="34.5" customHeight="1" x14ac:dyDescent="0.35">
      <c r="A18" s="3" t="s">
        <v>280</v>
      </c>
      <c r="B18" s="3" t="s">
        <v>288</v>
      </c>
      <c r="C18" s="3" t="s">
        <v>289</v>
      </c>
      <c r="D18" s="3" t="s">
        <v>290</v>
      </c>
      <c r="E18" s="3" t="s">
        <v>3</v>
      </c>
      <c r="F18" s="3" t="s">
        <v>291</v>
      </c>
    </row>
    <row r="19" spans="1:6" ht="34.5" customHeight="1" x14ac:dyDescent="0.35">
      <c r="A19" s="4" t="s">
        <v>280</v>
      </c>
      <c r="B19" s="4" t="s">
        <v>292</v>
      </c>
      <c r="C19" s="4" t="s">
        <v>293</v>
      </c>
      <c r="D19" s="4" t="s">
        <v>258</v>
      </c>
      <c r="E19" s="4" t="s">
        <v>3</v>
      </c>
      <c r="F19" s="4" t="s">
        <v>256</v>
      </c>
    </row>
    <row r="20" spans="1:6" ht="34.5" customHeight="1" x14ac:dyDescent="0.35">
      <c r="A20" s="3" t="s">
        <v>280</v>
      </c>
      <c r="B20" s="3" t="s">
        <v>194</v>
      </c>
      <c r="C20" s="3" t="s">
        <v>294</v>
      </c>
      <c r="D20" s="3" t="s">
        <v>295</v>
      </c>
      <c r="E20" s="3" t="s">
        <v>3</v>
      </c>
      <c r="F20" s="3" t="s">
        <v>296</v>
      </c>
    </row>
    <row r="21" spans="1:6" ht="34.5" customHeight="1" x14ac:dyDescent="0.35">
      <c r="A21" s="4" t="s">
        <v>280</v>
      </c>
      <c r="B21" s="4" t="s">
        <v>200</v>
      </c>
      <c r="C21" s="4" t="s">
        <v>297</v>
      </c>
      <c r="D21" s="4" t="s">
        <v>251</v>
      </c>
      <c r="E21" s="4" t="s">
        <v>3</v>
      </c>
      <c r="F21" s="4" t="s">
        <v>298</v>
      </c>
    </row>
    <row r="22" spans="1:6" ht="15" customHeight="1" x14ac:dyDescent="0.35">
      <c r="A22" s="19" t="s">
        <v>280</v>
      </c>
      <c r="B22" s="3" t="s">
        <v>43</v>
      </c>
      <c r="C22" s="3" t="s">
        <v>320</v>
      </c>
      <c r="D22" s="3" t="s">
        <v>258</v>
      </c>
      <c r="E22" s="3" t="s">
        <v>3</v>
      </c>
      <c r="F22" s="3" t="s">
        <v>336</v>
      </c>
    </row>
  </sheetData>
  <autoFilter ref="A2:F21" xr:uid="{00000000-0009-0000-0000-000007000000}"/>
  <mergeCells count="1">
    <mergeCell ref="A1:F1"/>
  </mergeCells>
  <pageMargins left="0.75" right="0.75" top="1" bottom="1" header="0.511811023622047" footer="0.511811023622047"/>
  <pageSetup fitToHeight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928CD4E23FCB4B8496D39C613E71BF" ma:contentTypeVersion="4" ma:contentTypeDescription="Crear nuevo documento." ma:contentTypeScope="" ma:versionID="240230426bc6b8b3d800721f983ff057">
  <xsd:schema xmlns:xsd="http://www.w3.org/2001/XMLSchema" xmlns:xs="http://www.w3.org/2001/XMLSchema" xmlns:p="http://schemas.microsoft.com/office/2006/metadata/properties" xmlns:ns2="77d6a880-0c08-45f6-86a4-976cccf76c1b" targetNamespace="http://schemas.microsoft.com/office/2006/metadata/properties" ma:root="true" ma:fieldsID="c198f59cb5b46444ce0ebc50ea8fa72e" ns2:_="">
    <xsd:import namespace="77d6a880-0c08-45f6-86a4-976cccf76c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d6a880-0c08-45f6-86a4-976cccf76c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422D52-1656-4696-B47D-519D8831742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07800EA-2B8F-4A15-8F85-0AFA8D3605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631158-D288-45EF-8156-BD5881BDC9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d6a880-0c08-45f6-86a4-976cccf76c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01_Predicciones</vt:lpstr>
      <vt:lpstr>02_Plan_Operativo</vt:lpstr>
      <vt:lpstr>03_Metricas_Desarrollo</vt:lpstr>
      <vt:lpstr>04_Descripcion_Solucion</vt:lpstr>
      <vt:lpstr>05_M6_Fondos</vt:lpstr>
      <vt:lpstr>06_Diccionario_Campos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Jenny Elizabeth Valencia Carmona</dc:creator>
  <cp:keywords/>
  <dc:description/>
  <cp:lastModifiedBy>Jenny Elizabeth Valencia Carmona</cp:lastModifiedBy>
  <cp:revision>0</cp:revision>
  <dcterms:created xsi:type="dcterms:W3CDTF">2026-09-27T21:42:38Z</dcterms:created>
  <dcterms:modified xsi:type="dcterms:W3CDTF">2026-10-01T01:13:40Z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2026-09-28T00:56:39Z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845f1880-5a2c-40ba-a49c-f6effa860381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10, 1, 2, 1</vt:lpwstr>
  </property>
  <property fmtid="{D5CDD505-2E9C-101B-9397-08002B2CF9AE}" pid="10" name="ContentTypeId">
    <vt:lpwstr>0x0101007C928CD4E23FCB4B8496D39C613E71BF</vt:lpwstr>
  </property>
</Properties>
</file>